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DOCUMENTOS_2025\PROYECTO_MILTON\THC_LPT\COD\THC_ESP32_V6_PRUEBAS\TEST_DOC\"/>
    </mc:Choice>
  </mc:AlternateContent>
  <xr:revisionPtr revIDLastSave="0" documentId="13_ncr:1_{C4CD1950-6A56-45D5-8E30-2ED14DE7BB8D}" xr6:coauthVersionLast="47" xr6:coauthVersionMax="47" xr10:uidLastSave="{00000000-0000-0000-0000-000000000000}"/>
  <bookViews>
    <workbookView xWindow="-120" yWindow="-120" windowWidth="29040" windowHeight="16440" xr2:uid="{260E8E8D-97FE-4884-9885-EE67FFB2A779}"/>
  </bookViews>
  <sheets>
    <sheet name="datalog_FINAL_177731998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03" i="1" l="1"/>
  <c r="R103" i="1"/>
  <c r="S100" i="1"/>
  <c r="R100" i="1"/>
  <c r="M235" i="1" s="1"/>
  <c r="L201" i="1" l="1"/>
  <c r="L213" i="1"/>
  <c r="M32" i="1"/>
  <c r="M58" i="1"/>
  <c r="L12" i="1"/>
  <c r="L110" i="1"/>
  <c r="M91" i="1"/>
  <c r="L189" i="1"/>
  <c r="L77" i="1"/>
  <c r="L51" i="1"/>
  <c r="M202" i="1"/>
  <c r="L225" i="1"/>
  <c r="N225" i="1" s="1"/>
  <c r="M8" i="1"/>
  <c r="L177" i="1"/>
  <c r="L333" i="1"/>
  <c r="M320" i="1"/>
  <c r="M294" i="1"/>
  <c r="L261" i="1"/>
  <c r="N261" i="1" s="1"/>
  <c r="M261" i="1"/>
  <c r="P164" i="1"/>
  <c r="L345" i="1"/>
  <c r="N345" i="1" s="1"/>
  <c r="L321" i="1"/>
  <c r="L273" i="1"/>
  <c r="L249" i="1"/>
  <c r="N249" i="1" s="1"/>
  <c r="L163" i="1"/>
  <c r="L297" i="1"/>
  <c r="L148" i="1"/>
  <c r="M150" i="1"/>
  <c r="L309" i="1"/>
  <c r="M176" i="1"/>
  <c r="L285" i="1"/>
  <c r="N285" i="1" s="1"/>
  <c r="L132" i="1"/>
  <c r="M117" i="1"/>
  <c r="L237" i="1"/>
  <c r="M346" i="1"/>
  <c r="M6" i="1"/>
  <c r="P92" i="1"/>
  <c r="O142" i="1"/>
  <c r="L11" i="1"/>
  <c r="L248" i="1"/>
  <c r="L236" i="1"/>
  <c r="L224" i="1"/>
  <c r="L212" i="1"/>
  <c r="L200" i="1"/>
  <c r="L188" i="1"/>
  <c r="L176" i="1"/>
  <c r="N176" i="1" s="1"/>
  <c r="L162" i="1"/>
  <c r="L147" i="1"/>
  <c r="N147" i="1" s="1"/>
  <c r="L128" i="1"/>
  <c r="L102" i="1"/>
  <c r="L76" i="1"/>
  <c r="L50" i="1"/>
  <c r="M345" i="1"/>
  <c r="M319" i="1"/>
  <c r="M286" i="1"/>
  <c r="M260" i="1"/>
  <c r="M234" i="1"/>
  <c r="M201" i="1"/>
  <c r="M175" i="1"/>
  <c r="M142" i="1"/>
  <c r="M116" i="1"/>
  <c r="M90" i="1"/>
  <c r="M57" i="1"/>
  <c r="M31" i="1"/>
  <c r="O131" i="1"/>
  <c r="O105" i="1"/>
  <c r="P124" i="1"/>
  <c r="P91" i="1"/>
  <c r="O321" i="1"/>
  <c r="O285" i="1"/>
  <c r="O249" i="1"/>
  <c r="O213" i="1"/>
  <c r="Q213" i="1" s="1"/>
  <c r="O177" i="1"/>
  <c r="O141" i="1"/>
  <c r="P318" i="1"/>
  <c r="P271" i="1"/>
  <c r="P223" i="1"/>
  <c r="P175" i="1"/>
  <c r="P125" i="1"/>
  <c r="O322" i="1"/>
  <c r="P272" i="1"/>
  <c r="L308" i="1"/>
  <c r="L331" i="1"/>
  <c r="L211" i="1"/>
  <c r="N211" i="1" s="1"/>
  <c r="L101" i="1"/>
  <c r="L42" i="1"/>
  <c r="M344" i="1"/>
  <c r="M318" i="1"/>
  <c r="M285" i="1"/>
  <c r="M259" i="1"/>
  <c r="M226" i="1"/>
  <c r="M200" i="1"/>
  <c r="M174" i="1"/>
  <c r="M141" i="1"/>
  <c r="M115" i="1"/>
  <c r="M82" i="1"/>
  <c r="M56" i="1"/>
  <c r="M30" i="1"/>
  <c r="O130" i="1"/>
  <c r="O104" i="1"/>
  <c r="P116" i="1"/>
  <c r="O347" i="1"/>
  <c r="O313" i="1"/>
  <c r="O277" i="1"/>
  <c r="O241" i="1"/>
  <c r="O205" i="1"/>
  <c r="O169" i="1"/>
  <c r="P346" i="1"/>
  <c r="P310" i="1"/>
  <c r="P270" i="1"/>
  <c r="P222" i="1"/>
  <c r="P174" i="1"/>
  <c r="O106" i="1"/>
  <c r="O214" i="1"/>
  <c r="L260" i="1"/>
  <c r="N260" i="1" s="1"/>
  <c r="L307" i="1"/>
  <c r="L235" i="1"/>
  <c r="N235" i="1" s="1"/>
  <c r="L2" i="1"/>
  <c r="L270" i="1"/>
  <c r="L210" i="1"/>
  <c r="N210" i="1" s="1"/>
  <c r="L198" i="1"/>
  <c r="L186" i="1"/>
  <c r="L174" i="1"/>
  <c r="L160" i="1"/>
  <c r="L144" i="1"/>
  <c r="L125" i="1"/>
  <c r="L100" i="1"/>
  <c r="L74" i="1"/>
  <c r="L41" i="1"/>
  <c r="M343" i="1"/>
  <c r="M310" i="1"/>
  <c r="M284" i="1"/>
  <c r="M258" i="1"/>
  <c r="M225" i="1"/>
  <c r="M199" i="1"/>
  <c r="M166" i="1"/>
  <c r="M140" i="1"/>
  <c r="M114" i="1"/>
  <c r="M81" i="1"/>
  <c r="M55" i="1"/>
  <c r="M22" i="1"/>
  <c r="O129" i="1"/>
  <c r="O103" i="1"/>
  <c r="P115" i="1"/>
  <c r="O346" i="1"/>
  <c r="O311" i="1"/>
  <c r="O275" i="1"/>
  <c r="O239" i="1"/>
  <c r="O203" i="1"/>
  <c r="O167" i="1"/>
  <c r="P344" i="1"/>
  <c r="P308" i="1"/>
  <c r="P260" i="1"/>
  <c r="P212" i="1"/>
  <c r="P135" i="1"/>
  <c r="P147" i="1"/>
  <c r="P159" i="1"/>
  <c r="P171" i="1"/>
  <c r="P183" i="1"/>
  <c r="P195" i="1"/>
  <c r="P207" i="1"/>
  <c r="P219" i="1"/>
  <c r="P231" i="1"/>
  <c r="P243" i="1"/>
  <c r="P255" i="1"/>
  <c r="P267" i="1"/>
  <c r="P279" i="1"/>
  <c r="P291" i="1"/>
  <c r="P303" i="1"/>
  <c r="P315" i="1"/>
  <c r="P327" i="1"/>
  <c r="P339" i="1"/>
  <c r="O138" i="1"/>
  <c r="O150" i="1"/>
  <c r="O162" i="1"/>
  <c r="O174" i="1"/>
  <c r="Q174" i="1" s="1"/>
  <c r="O186" i="1"/>
  <c r="O198" i="1"/>
  <c r="O210" i="1"/>
  <c r="O222" i="1"/>
  <c r="Q222" i="1" s="1"/>
  <c r="O234" i="1"/>
  <c r="O246" i="1"/>
  <c r="O258" i="1"/>
  <c r="O270" i="1"/>
  <c r="Q270" i="1" s="1"/>
  <c r="O282" i="1"/>
  <c r="O294" i="1"/>
  <c r="O306" i="1"/>
  <c r="O318" i="1"/>
  <c r="Q318" i="1" s="1"/>
  <c r="O330" i="1"/>
  <c r="O342" i="1"/>
  <c r="P97" i="1"/>
  <c r="P109" i="1"/>
  <c r="P121" i="1"/>
  <c r="P133" i="1"/>
  <c r="O100" i="1"/>
  <c r="O112" i="1"/>
  <c r="O124" i="1"/>
  <c r="Q124" i="1" s="1"/>
  <c r="P136" i="1"/>
  <c r="P148" i="1"/>
  <c r="P160" i="1"/>
  <c r="P172" i="1"/>
  <c r="P184" i="1"/>
  <c r="P196" i="1"/>
  <c r="P208" i="1"/>
  <c r="P220" i="1"/>
  <c r="P232" i="1"/>
  <c r="P244" i="1"/>
  <c r="P256" i="1"/>
  <c r="P268" i="1"/>
  <c r="P280" i="1"/>
  <c r="P292" i="1"/>
  <c r="P304" i="1"/>
  <c r="P316" i="1"/>
  <c r="P328" i="1"/>
  <c r="P340" i="1"/>
  <c r="O139" i="1"/>
  <c r="Q139" i="1" s="1"/>
  <c r="O151" i="1"/>
  <c r="O163" i="1"/>
  <c r="O175" i="1"/>
  <c r="O187" i="1"/>
  <c r="O199" i="1"/>
  <c r="O211" i="1"/>
  <c r="O223" i="1"/>
  <c r="Q223" i="1" s="1"/>
  <c r="O235" i="1"/>
  <c r="O247" i="1"/>
  <c r="O259" i="1"/>
  <c r="O271" i="1"/>
  <c r="Q271" i="1" s="1"/>
  <c r="O283" i="1"/>
  <c r="Q283" i="1" s="1"/>
  <c r="O295" i="1"/>
  <c r="O307" i="1"/>
  <c r="O319" i="1"/>
  <c r="O331" i="1"/>
  <c r="O343" i="1"/>
  <c r="P98" i="1"/>
  <c r="P110" i="1"/>
  <c r="P122" i="1"/>
  <c r="P134" i="1"/>
  <c r="O101" i="1"/>
  <c r="O113" i="1"/>
  <c r="O125" i="1"/>
  <c r="Q125" i="1" s="1"/>
  <c r="P137" i="1"/>
  <c r="P149" i="1"/>
  <c r="P161" i="1"/>
  <c r="P173" i="1"/>
  <c r="P185" i="1"/>
  <c r="P197" i="1"/>
  <c r="P209" i="1"/>
  <c r="P221" i="1"/>
  <c r="P233" i="1"/>
  <c r="P245" i="1"/>
  <c r="P257" i="1"/>
  <c r="P269" i="1"/>
  <c r="P281" i="1"/>
  <c r="P293" i="1"/>
  <c r="P305" i="1"/>
  <c r="P317" i="1"/>
  <c r="P329" i="1"/>
  <c r="P341" i="1"/>
  <c r="O140" i="1"/>
  <c r="O152" i="1"/>
  <c r="O164" i="1"/>
  <c r="Q164" i="1" s="1"/>
  <c r="O176" i="1"/>
  <c r="O188" i="1"/>
  <c r="O200" i="1"/>
  <c r="Q200" i="1" s="1"/>
  <c r="O212" i="1"/>
  <c r="O224" i="1"/>
  <c r="O236" i="1"/>
  <c r="O248" i="1"/>
  <c r="O260" i="1"/>
  <c r="O272" i="1"/>
  <c r="Q272" i="1" s="1"/>
  <c r="O284" i="1"/>
  <c r="O296" i="1"/>
  <c r="O308" i="1"/>
  <c r="Q308" i="1" s="1"/>
  <c r="O320" i="1"/>
  <c r="O332" i="1"/>
  <c r="O344" i="1"/>
  <c r="Q344" i="1" s="1"/>
  <c r="P99" i="1"/>
  <c r="P111" i="1"/>
  <c r="P123" i="1"/>
  <c r="P90" i="1"/>
  <c r="O102" i="1"/>
  <c r="O114" i="1"/>
  <c r="O126" i="1"/>
  <c r="P141" i="1"/>
  <c r="P153" i="1"/>
  <c r="P165" i="1"/>
  <c r="P177" i="1"/>
  <c r="P189" i="1"/>
  <c r="P201" i="1"/>
  <c r="P213" i="1"/>
  <c r="P225" i="1"/>
  <c r="P237" i="1"/>
  <c r="P249" i="1"/>
  <c r="P261" i="1"/>
  <c r="P273" i="1"/>
  <c r="P285" i="1"/>
  <c r="P297" i="1"/>
  <c r="P309" i="1"/>
  <c r="P321" i="1"/>
  <c r="P333" i="1"/>
  <c r="P345" i="1"/>
  <c r="O144" i="1"/>
  <c r="O156" i="1"/>
  <c r="O168" i="1"/>
  <c r="O180" i="1"/>
  <c r="O192" i="1"/>
  <c r="O204" i="1"/>
  <c r="O216" i="1"/>
  <c r="O228" i="1"/>
  <c r="O240" i="1"/>
  <c r="Q240" i="1" s="1"/>
  <c r="O252" i="1"/>
  <c r="O264" i="1"/>
  <c r="Q264" i="1" s="1"/>
  <c r="O276" i="1"/>
  <c r="O288" i="1"/>
  <c r="O300" i="1"/>
  <c r="O312" i="1"/>
  <c r="O324" i="1"/>
  <c r="P142" i="1"/>
  <c r="P154" i="1"/>
  <c r="P166" i="1"/>
  <c r="P178" i="1"/>
  <c r="P190" i="1"/>
  <c r="P202" i="1"/>
  <c r="P214" i="1"/>
  <c r="P226" i="1"/>
  <c r="P238" i="1"/>
  <c r="P250" i="1"/>
  <c r="P262" i="1"/>
  <c r="P274" i="1"/>
  <c r="P286" i="1"/>
  <c r="P298" i="1"/>
  <c r="P143" i="1"/>
  <c r="P155" i="1"/>
  <c r="P167" i="1"/>
  <c r="P179" i="1"/>
  <c r="P191" i="1"/>
  <c r="P203" i="1"/>
  <c r="P215" i="1"/>
  <c r="P227" i="1"/>
  <c r="P239" i="1"/>
  <c r="P251" i="1"/>
  <c r="P263" i="1"/>
  <c r="P275" i="1"/>
  <c r="P287" i="1"/>
  <c r="P299" i="1"/>
  <c r="P311" i="1"/>
  <c r="P323" i="1"/>
  <c r="P335" i="1"/>
  <c r="P347" i="1"/>
  <c r="O146" i="1"/>
  <c r="O158" i="1"/>
  <c r="O170" i="1"/>
  <c r="O182" i="1"/>
  <c r="O194" i="1"/>
  <c r="O206" i="1"/>
  <c r="O218" i="1"/>
  <c r="O230" i="1"/>
  <c r="O242" i="1"/>
  <c r="Q242" i="1" s="1"/>
  <c r="O254" i="1"/>
  <c r="Q254" i="1" s="1"/>
  <c r="O266" i="1"/>
  <c r="Q266" i="1" s="1"/>
  <c r="O278" i="1"/>
  <c r="O290" i="1"/>
  <c r="O302" i="1"/>
  <c r="O314" i="1"/>
  <c r="O326" i="1"/>
  <c r="O338" i="1"/>
  <c r="P93" i="1"/>
  <c r="P105" i="1"/>
  <c r="P117" i="1"/>
  <c r="P129" i="1"/>
  <c r="O96" i="1"/>
  <c r="O108" i="1"/>
  <c r="Q108" i="1" s="1"/>
  <c r="O120" i="1"/>
  <c r="O132" i="1"/>
  <c r="P144" i="1"/>
  <c r="P156" i="1"/>
  <c r="P168" i="1"/>
  <c r="P180" i="1"/>
  <c r="P192" i="1"/>
  <c r="P204" i="1"/>
  <c r="P216" i="1"/>
  <c r="P228" i="1"/>
  <c r="P240" i="1"/>
  <c r="P252" i="1"/>
  <c r="P264" i="1"/>
  <c r="P276" i="1"/>
  <c r="P288" i="1"/>
  <c r="P300" i="1"/>
  <c r="P312" i="1"/>
  <c r="P324" i="1"/>
  <c r="P336" i="1"/>
  <c r="O135" i="1"/>
  <c r="Q135" i="1" s="1"/>
  <c r="O147" i="1"/>
  <c r="O159" i="1"/>
  <c r="Q159" i="1" s="1"/>
  <c r="O171" i="1"/>
  <c r="Q171" i="1" s="1"/>
  <c r="O183" i="1"/>
  <c r="Q183" i="1" s="1"/>
  <c r="O195" i="1"/>
  <c r="Q195" i="1" s="1"/>
  <c r="O207" i="1"/>
  <c r="Q207" i="1" s="1"/>
  <c r="O219" i="1"/>
  <c r="Q219" i="1" s="1"/>
  <c r="O231" i="1"/>
  <c r="Q231" i="1" s="1"/>
  <c r="O243" i="1"/>
  <c r="Q243" i="1" s="1"/>
  <c r="O255" i="1"/>
  <c r="Q255" i="1" s="1"/>
  <c r="O267" i="1"/>
  <c r="Q267" i="1" s="1"/>
  <c r="O279" i="1"/>
  <c r="Q279" i="1" s="1"/>
  <c r="O291" i="1"/>
  <c r="O303" i="1"/>
  <c r="Q303" i="1" s="1"/>
  <c r="O315" i="1"/>
  <c r="Q315" i="1" s="1"/>
  <c r="O327" i="1"/>
  <c r="Q327" i="1" s="1"/>
  <c r="O339" i="1"/>
  <c r="Q339" i="1" s="1"/>
  <c r="P94" i="1"/>
  <c r="P106" i="1"/>
  <c r="P118" i="1"/>
  <c r="P130" i="1"/>
  <c r="O97" i="1"/>
  <c r="Q97" i="1" s="1"/>
  <c r="O109" i="1"/>
  <c r="O121" i="1"/>
  <c r="Q121" i="1" s="1"/>
  <c r="O133" i="1"/>
  <c r="Q133" i="1" s="1"/>
  <c r="P145" i="1"/>
  <c r="P157" i="1"/>
  <c r="P169" i="1"/>
  <c r="P181" i="1"/>
  <c r="P193" i="1"/>
  <c r="P205" i="1"/>
  <c r="P217" i="1"/>
  <c r="P229" i="1"/>
  <c r="P241" i="1"/>
  <c r="P253" i="1"/>
  <c r="P265" i="1"/>
  <c r="P277" i="1"/>
  <c r="P289" i="1"/>
  <c r="P301" i="1"/>
  <c r="P313" i="1"/>
  <c r="P325" i="1"/>
  <c r="P337" i="1"/>
  <c r="O136" i="1"/>
  <c r="Q136" i="1" s="1"/>
  <c r="O148" i="1"/>
  <c r="Q148" i="1" s="1"/>
  <c r="O160" i="1"/>
  <c r="Q160" i="1" s="1"/>
  <c r="O172" i="1"/>
  <c r="Q172" i="1" s="1"/>
  <c r="O184" i="1"/>
  <c r="Q184" i="1" s="1"/>
  <c r="O196" i="1"/>
  <c r="Q196" i="1" s="1"/>
  <c r="O208" i="1"/>
  <c r="O220" i="1"/>
  <c r="Q220" i="1" s="1"/>
  <c r="O232" i="1"/>
  <c r="Q232" i="1" s="1"/>
  <c r="O244" i="1"/>
  <c r="Q244" i="1" s="1"/>
  <c r="O256" i="1"/>
  <c r="Q256" i="1" s="1"/>
  <c r="O268" i="1"/>
  <c r="Q268" i="1" s="1"/>
  <c r="O280" i="1"/>
  <c r="Q280" i="1" s="1"/>
  <c r="O292" i="1"/>
  <c r="Q292" i="1" s="1"/>
  <c r="O304" i="1"/>
  <c r="Q304" i="1" s="1"/>
  <c r="O316" i="1"/>
  <c r="Q316" i="1" s="1"/>
  <c r="O328" i="1"/>
  <c r="Q328" i="1" s="1"/>
  <c r="O340" i="1"/>
  <c r="Q340" i="1" s="1"/>
  <c r="P95" i="1"/>
  <c r="P107" i="1"/>
  <c r="P119" i="1"/>
  <c r="P131" i="1"/>
  <c r="O98" i="1"/>
  <c r="Q98" i="1" s="1"/>
  <c r="O110" i="1"/>
  <c r="Q110" i="1" s="1"/>
  <c r="O122" i="1"/>
  <c r="Q122" i="1" s="1"/>
  <c r="O134" i="1"/>
  <c r="Q134" i="1" s="1"/>
  <c r="P146" i="1"/>
  <c r="P158" i="1"/>
  <c r="P170" i="1"/>
  <c r="P182" i="1"/>
  <c r="P194" i="1"/>
  <c r="P206" i="1"/>
  <c r="P218" i="1"/>
  <c r="P230" i="1"/>
  <c r="P242" i="1"/>
  <c r="P254" i="1"/>
  <c r="P266" i="1"/>
  <c r="P278" i="1"/>
  <c r="P290" i="1"/>
  <c r="P302" i="1"/>
  <c r="P314" i="1"/>
  <c r="P326" i="1"/>
  <c r="P338" i="1"/>
  <c r="O137" i="1"/>
  <c r="Q137" i="1" s="1"/>
  <c r="O149" i="1"/>
  <c r="Q149" i="1" s="1"/>
  <c r="O161" i="1"/>
  <c r="Q161" i="1" s="1"/>
  <c r="O173" i="1"/>
  <c r="Q173" i="1" s="1"/>
  <c r="O185" i="1"/>
  <c r="Q185" i="1" s="1"/>
  <c r="O197" i="1"/>
  <c r="Q197" i="1" s="1"/>
  <c r="O209" i="1"/>
  <c r="Q209" i="1" s="1"/>
  <c r="O221" i="1"/>
  <c r="Q221" i="1" s="1"/>
  <c r="O233" i="1"/>
  <c r="Q233" i="1" s="1"/>
  <c r="O245" i="1"/>
  <c r="Q245" i="1" s="1"/>
  <c r="O257" i="1"/>
  <c r="Q257" i="1" s="1"/>
  <c r="O269" i="1"/>
  <c r="O281" i="1"/>
  <c r="Q281" i="1" s="1"/>
  <c r="O293" i="1"/>
  <c r="Q293" i="1" s="1"/>
  <c r="O305" i="1"/>
  <c r="Q305" i="1" s="1"/>
  <c r="O317" i="1"/>
  <c r="Q317" i="1" s="1"/>
  <c r="O329" i="1"/>
  <c r="Q329" i="1" s="1"/>
  <c r="O341" i="1"/>
  <c r="Q341" i="1" s="1"/>
  <c r="P96" i="1"/>
  <c r="P108" i="1"/>
  <c r="P120" i="1"/>
  <c r="P132" i="1"/>
  <c r="O99" i="1"/>
  <c r="Q99" i="1" s="1"/>
  <c r="O111" i="1"/>
  <c r="Q111" i="1" s="1"/>
  <c r="O123" i="1"/>
  <c r="Q123" i="1" s="1"/>
  <c r="O90" i="1"/>
  <c r="Q90" i="1" s="1"/>
  <c r="L247" i="1"/>
  <c r="N247" i="1" s="1"/>
  <c r="L146" i="1"/>
  <c r="L294" i="1"/>
  <c r="N294" i="1" s="1"/>
  <c r="L8" i="1"/>
  <c r="L341" i="1"/>
  <c r="L317" i="1"/>
  <c r="L293" i="1"/>
  <c r="L281" i="1"/>
  <c r="L257" i="1"/>
  <c r="L233" i="1"/>
  <c r="L221" i="1"/>
  <c r="L209" i="1"/>
  <c r="L197" i="1"/>
  <c r="N197" i="1" s="1"/>
  <c r="L185" i="1"/>
  <c r="L173" i="1"/>
  <c r="L159" i="1"/>
  <c r="L142" i="1"/>
  <c r="L124" i="1"/>
  <c r="L99" i="1"/>
  <c r="L66" i="1"/>
  <c r="L40" i="1"/>
  <c r="M342" i="1"/>
  <c r="M309" i="1"/>
  <c r="M283" i="1"/>
  <c r="M250" i="1"/>
  <c r="M224" i="1"/>
  <c r="M198" i="1"/>
  <c r="M165" i="1"/>
  <c r="M139" i="1"/>
  <c r="M106" i="1"/>
  <c r="M80" i="1"/>
  <c r="M54" i="1"/>
  <c r="M21" i="1"/>
  <c r="O128" i="1"/>
  <c r="O95" i="1"/>
  <c r="Q95" i="1" s="1"/>
  <c r="P114" i="1"/>
  <c r="O345" i="1"/>
  <c r="Q345" i="1" s="1"/>
  <c r="O310" i="1"/>
  <c r="Q310" i="1" s="1"/>
  <c r="O274" i="1"/>
  <c r="Q274" i="1" s="1"/>
  <c r="O238" i="1"/>
  <c r="Q238" i="1" s="1"/>
  <c r="O202" i="1"/>
  <c r="Q202" i="1" s="1"/>
  <c r="O166" i="1"/>
  <c r="Q166" i="1" s="1"/>
  <c r="P343" i="1"/>
  <c r="P307" i="1"/>
  <c r="P259" i="1"/>
  <c r="P211" i="1"/>
  <c r="P163" i="1"/>
  <c r="P319" i="1"/>
  <c r="L344" i="1"/>
  <c r="N344" i="1" s="1"/>
  <c r="L271" i="1"/>
  <c r="L75" i="1"/>
  <c r="L306" i="1"/>
  <c r="L20" i="1"/>
  <c r="L329" i="1"/>
  <c r="L305" i="1"/>
  <c r="L269" i="1"/>
  <c r="L245" i="1"/>
  <c r="L19" i="1"/>
  <c r="L7" i="1"/>
  <c r="L340" i="1"/>
  <c r="L328" i="1"/>
  <c r="N328" i="1" s="1"/>
  <c r="L316" i="1"/>
  <c r="L304" i="1"/>
  <c r="L292" i="1"/>
  <c r="L280" i="1"/>
  <c r="L268" i="1"/>
  <c r="L256" i="1"/>
  <c r="L244" i="1"/>
  <c r="L232" i="1"/>
  <c r="L220" i="1"/>
  <c r="L208" i="1"/>
  <c r="L196" i="1"/>
  <c r="L184" i="1"/>
  <c r="N184" i="1" s="1"/>
  <c r="L172" i="1"/>
  <c r="L158" i="1"/>
  <c r="L141" i="1"/>
  <c r="N141" i="1" s="1"/>
  <c r="L123" i="1"/>
  <c r="L98" i="1"/>
  <c r="L65" i="1"/>
  <c r="L39" i="1"/>
  <c r="M334" i="1"/>
  <c r="M308" i="1"/>
  <c r="M282" i="1"/>
  <c r="M249" i="1"/>
  <c r="M223" i="1"/>
  <c r="M190" i="1"/>
  <c r="M164" i="1"/>
  <c r="M138" i="1"/>
  <c r="M105" i="1"/>
  <c r="M79" i="1"/>
  <c r="M46" i="1"/>
  <c r="M20" i="1"/>
  <c r="O127" i="1"/>
  <c r="O94" i="1"/>
  <c r="Q94" i="1" s="1"/>
  <c r="P113" i="1"/>
  <c r="O337" i="1"/>
  <c r="Q337" i="1" s="1"/>
  <c r="O309" i="1"/>
  <c r="Q309" i="1" s="1"/>
  <c r="O273" i="1"/>
  <c r="Q273" i="1" s="1"/>
  <c r="O237" i="1"/>
  <c r="Q237" i="1" s="1"/>
  <c r="O201" i="1"/>
  <c r="Q201" i="1" s="1"/>
  <c r="O165" i="1"/>
  <c r="Q165" i="1" s="1"/>
  <c r="P342" i="1"/>
  <c r="P306" i="1"/>
  <c r="P258" i="1"/>
  <c r="P210" i="1"/>
  <c r="P162" i="1"/>
  <c r="P176" i="1"/>
  <c r="L343" i="1"/>
  <c r="N343" i="1" s="1"/>
  <c r="L126" i="1"/>
  <c r="N126" i="1" s="1"/>
  <c r="L318" i="1"/>
  <c r="N318" i="1" s="1"/>
  <c r="L279" i="1"/>
  <c r="L219" i="1"/>
  <c r="L122" i="1"/>
  <c r="M333" i="1"/>
  <c r="M248" i="1"/>
  <c r="M222" i="1"/>
  <c r="M189" i="1"/>
  <c r="M104" i="1"/>
  <c r="M19" i="1"/>
  <c r="O119" i="1"/>
  <c r="Q119" i="1" s="1"/>
  <c r="O93" i="1"/>
  <c r="Q93" i="1" s="1"/>
  <c r="P112" i="1"/>
  <c r="O336" i="1"/>
  <c r="Q336" i="1" s="1"/>
  <c r="O301" i="1"/>
  <c r="Q301" i="1" s="1"/>
  <c r="O265" i="1"/>
  <c r="Q265" i="1" s="1"/>
  <c r="O229" i="1"/>
  <c r="Q229" i="1" s="1"/>
  <c r="O193" i="1"/>
  <c r="Q193" i="1" s="1"/>
  <c r="O157" i="1"/>
  <c r="Q157" i="1" s="1"/>
  <c r="P334" i="1"/>
  <c r="P296" i="1"/>
  <c r="P248" i="1"/>
  <c r="P200" i="1"/>
  <c r="P152" i="1"/>
  <c r="O286" i="1"/>
  <c r="Q286" i="1" s="1"/>
  <c r="L272" i="1"/>
  <c r="L283" i="1"/>
  <c r="L187" i="1"/>
  <c r="L342" i="1"/>
  <c r="L234" i="1"/>
  <c r="N234" i="1" s="1"/>
  <c r="L339" i="1"/>
  <c r="L303" i="1"/>
  <c r="L243" i="1"/>
  <c r="L207" i="1"/>
  <c r="L140" i="1"/>
  <c r="N140" i="1" s="1"/>
  <c r="M307" i="1"/>
  <c r="M130" i="1"/>
  <c r="L5" i="1"/>
  <c r="L302" i="1"/>
  <c r="L254" i="1"/>
  <c r="L206" i="1"/>
  <c r="L194" i="1"/>
  <c r="L182" i="1"/>
  <c r="L170" i="1"/>
  <c r="L154" i="1"/>
  <c r="N154" i="1" s="1"/>
  <c r="L138" i="1"/>
  <c r="N138" i="1" s="1"/>
  <c r="L116" i="1"/>
  <c r="N116" i="1" s="1"/>
  <c r="L89" i="1"/>
  <c r="L63" i="1"/>
  <c r="L30" i="1"/>
  <c r="M332" i="1"/>
  <c r="M306" i="1"/>
  <c r="M273" i="1"/>
  <c r="M247" i="1"/>
  <c r="M214" i="1"/>
  <c r="M188" i="1"/>
  <c r="M162" i="1"/>
  <c r="M129" i="1"/>
  <c r="M103" i="1"/>
  <c r="M70" i="1"/>
  <c r="M44" i="1"/>
  <c r="M18" i="1"/>
  <c r="O118" i="1"/>
  <c r="Q118" i="1" s="1"/>
  <c r="O92" i="1"/>
  <c r="Q92" i="1" s="1"/>
  <c r="P104" i="1"/>
  <c r="O335" i="1"/>
  <c r="O299" i="1"/>
  <c r="Q299" i="1" s="1"/>
  <c r="O263" i="1"/>
  <c r="Q263" i="1" s="1"/>
  <c r="O227" i="1"/>
  <c r="Q227" i="1" s="1"/>
  <c r="O191" i="1"/>
  <c r="O155" i="1"/>
  <c r="Q155" i="1" s="1"/>
  <c r="P332" i="1"/>
  <c r="P295" i="1"/>
  <c r="P247" i="1"/>
  <c r="P199" i="1"/>
  <c r="P151" i="1"/>
  <c r="O250" i="1"/>
  <c r="Q250" i="1" s="1"/>
  <c r="L284" i="1"/>
  <c r="L259" i="1"/>
  <c r="N259" i="1" s="1"/>
  <c r="L199" i="1"/>
  <c r="N199" i="1" s="1"/>
  <c r="L330" i="1"/>
  <c r="N330" i="1" s="1"/>
  <c r="L222" i="1"/>
  <c r="N222" i="1" s="1"/>
  <c r="L267" i="1"/>
  <c r="L183" i="1"/>
  <c r="N183" i="1" s="1"/>
  <c r="L90" i="1"/>
  <c r="N90" i="1" s="1"/>
  <c r="M45" i="1"/>
  <c r="L326" i="1"/>
  <c r="L278" i="1"/>
  <c r="L230" i="1"/>
  <c r="L337" i="1"/>
  <c r="L301" i="1"/>
  <c r="L265" i="1"/>
  <c r="L229" i="1"/>
  <c r="L181" i="1"/>
  <c r="L137" i="1"/>
  <c r="L62" i="1"/>
  <c r="M331" i="1"/>
  <c r="M272" i="1"/>
  <c r="M246" i="1"/>
  <c r="M213" i="1"/>
  <c r="M154" i="1"/>
  <c r="M128" i="1"/>
  <c r="M102" i="1"/>
  <c r="M43" i="1"/>
  <c r="M10" i="1"/>
  <c r="O117" i="1"/>
  <c r="Q117" i="1" s="1"/>
  <c r="O91" i="1"/>
  <c r="Q91" i="1" s="1"/>
  <c r="P103" i="1"/>
  <c r="O334" i="1"/>
  <c r="O298" i="1"/>
  <c r="Q298" i="1" s="1"/>
  <c r="O262" i="1"/>
  <c r="Q262" i="1" s="1"/>
  <c r="O226" i="1"/>
  <c r="Q226" i="1" s="1"/>
  <c r="O190" i="1"/>
  <c r="Q190" i="1" s="1"/>
  <c r="O154" i="1"/>
  <c r="Q154" i="1" s="1"/>
  <c r="P331" i="1"/>
  <c r="P294" i="1"/>
  <c r="P246" i="1"/>
  <c r="P198" i="1"/>
  <c r="P150" i="1"/>
  <c r="P224" i="1"/>
  <c r="L332" i="1"/>
  <c r="L10" i="1"/>
  <c r="L175" i="1"/>
  <c r="N175" i="1" s="1"/>
  <c r="L282" i="1"/>
  <c r="L6" i="1"/>
  <c r="L315" i="1"/>
  <c r="L231" i="1"/>
  <c r="L195" i="1"/>
  <c r="L156" i="1"/>
  <c r="L38" i="1"/>
  <c r="M274" i="1"/>
  <c r="M163" i="1"/>
  <c r="L17" i="1"/>
  <c r="L314" i="1"/>
  <c r="L266" i="1"/>
  <c r="L218" i="1"/>
  <c r="L4" i="1"/>
  <c r="L313" i="1"/>
  <c r="L289" i="1"/>
  <c r="L253" i="1"/>
  <c r="L217" i="1"/>
  <c r="L193" i="1"/>
  <c r="L168" i="1"/>
  <c r="L88" i="1"/>
  <c r="M298" i="1"/>
  <c r="M69" i="1"/>
  <c r="L15" i="1"/>
  <c r="L3" i="1"/>
  <c r="L336" i="1"/>
  <c r="L324" i="1"/>
  <c r="L312" i="1"/>
  <c r="L300" i="1"/>
  <c r="L288" i="1"/>
  <c r="L276" i="1"/>
  <c r="L264" i="1"/>
  <c r="L252" i="1"/>
  <c r="N252" i="1" s="1"/>
  <c r="L240" i="1"/>
  <c r="L228" i="1"/>
  <c r="L216" i="1"/>
  <c r="L204" i="1"/>
  <c r="L192" i="1"/>
  <c r="L180" i="1"/>
  <c r="L166" i="1"/>
  <c r="N166" i="1" s="1"/>
  <c r="L152" i="1"/>
  <c r="L136" i="1"/>
  <c r="L113" i="1"/>
  <c r="N113" i="1" s="1"/>
  <c r="L87" i="1"/>
  <c r="L54" i="1"/>
  <c r="L28" i="1"/>
  <c r="M330" i="1"/>
  <c r="M297" i="1"/>
  <c r="M271" i="1"/>
  <c r="M238" i="1"/>
  <c r="M212" i="1"/>
  <c r="M186" i="1"/>
  <c r="M153" i="1"/>
  <c r="M127" i="1"/>
  <c r="M94" i="1"/>
  <c r="M68" i="1"/>
  <c r="M42" i="1"/>
  <c r="M9" i="1"/>
  <c r="O116" i="1"/>
  <c r="Q116" i="1" s="1"/>
  <c r="P128" i="1"/>
  <c r="P102" i="1"/>
  <c r="O333" i="1"/>
  <c r="O297" i="1"/>
  <c r="Q297" i="1" s="1"/>
  <c r="O261" i="1"/>
  <c r="Q261" i="1" s="1"/>
  <c r="O225" i="1"/>
  <c r="Q225" i="1" s="1"/>
  <c r="O189" i="1"/>
  <c r="O153" i="1"/>
  <c r="Q153" i="1" s="1"/>
  <c r="P330" i="1"/>
  <c r="P284" i="1"/>
  <c r="P236" i="1"/>
  <c r="P188" i="1"/>
  <c r="P140" i="1"/>
  <c r="O178" i="1"/>
  <c r="Q178" i="1" s="1"/>
  <c r="L296" i="1"/>
  <c r="N296" i="1" s="1"/>
  <c r="L295" i="1"/>
  <c r="L161" i="1"/>
  <c r="L246" i="1"/>
  <c r="N246" i="1" s="1"/>
  <c r="L327" i="1"/>
  <c r="N327" i="1" s="1"/>
  <c r="L255" i="1"/>
  <c r="N255" i="1" s="1"/>
  <c r="L171" i="1"/>
  <c r="L64" i="1"/>
  <c r="M78" i="1"/>
  <c r="L338" i="1"/>
  <c r="L290" i="1"/>
  <c r="L242" i="1"/>
  <c r="L16" i="1"/>
  <c r="L325" i="1"/>
  <c r="L277" i="1"/>
  <c r="L241" i="1"/>
  <c r="L205" i="1"/>
  <c r="L153" i="1"/>
  <c r="N153" i="1" s="1"/>
  <c r="L114" i="1"/>
  <c r="N114" i="1" s="1"/>
  <c r="L29" i="1"/>
  <c r="M187" i="1"/>
  <c r="L14" i="1"/>
  <c r="L347" i="1"/>
  <c r="L335" i="1"/>
  <c r="L323" i="1"/>
  <c r="L311" i="1"/>
  <c r="L299" i="1"/>
  <c r="L287" i="1"/>
  <c r="L275" i="1"/>
  <c r="N275" i="1" s="1"/>
  <c r="L263" i="1"/>
  <c r="N263" i="1" s="1"/>
  <c r="L251" i="1"/>
  <c r="L239" i="1"/>
  <c r="N239" i="1" s="1"/>
  <c r="L227" i="1"/>
  <c r="L215" i="1"/>
  <c r="L203" i="1"/>
  <c r="L191" i="1"/>
  <c r="L179" i="1"/>
  <c r="L165" i="1"/>
  <c r="N165" i="1" s="1"/>
  <c r="L150" i="1"/>
  <c r="N150" i="1" s="1"/>
  <c r="L135" i="1"/>
  <c r="N135" i="1" s="1"/>
  <c r="L112" i="1"/>
  <c r="N112" i="1" s="1"/>
  <c r="L86" i="1"/>
  <c r="L53" i="1"/>
  <c r="L27" i="1"/>
  <c r="M322" i="1"/>
  <c r="M296" i="1"/>
  <c r="M270" i="1"/>
  <c r="M237" i="1"/>
  <c r="M211" i="1"/>
  <c r="M178" i="1"/>
  <c r="M152" i="1"/>
  <c r="M126" i="1"/>
  <c r="M93" i="1"/>
  <c r="M67" i="1"/>
  <c r="M34" i="1"/>
  <c r="O115" i="1"/>
  <c r="Q115" i="1" s="1"/>
  <c r="P127" i="1"/>
  <c r="P101" i="1"/>
  <c r="O325" i="1"/>
  <c r="Q325" i="1" s="1"/>
  <c r="O289" i="1"/>
  <c r="Q289" i="1" s="1"/>
  <c r="O253" i="1"/>
  <c r="Q253" i="1" s="1"/>
  <c r="O217" i="1"/>
  <c r="Q217" i="1" s="1"/>
  <c r="O181" i="1"/>
  <c r="Q181" i="1" s="1"/>
  <c r="O145" i="1"/>
  <c r="Q145" i="1" s="1"/>
  <c r="P322" i="1"/>
  <c r="P283" i="1"/>
  <c r="P235" i="1"/>
  <c r="P187" i="1"/>
  <c r="P139" i="1"/>
  <c r="M3" i="1"/>
  <c r="M15" i="1"/>
  <c r="M27" i="1"/>
  <c r="M39" i="1"/>
  <c r="M51" i="1"/>
  <c r="M63" i="1"/>
  <c r="M75" i="1"/>
  <c r="M87" i="1"/>
  <c r="M99" i="1"/>
  <c r="M111" i="1"/>
  <c r="M123" i="1"/>
  <c r="M135" i="1"/>
  <c r="M147" i="1"/>
  <c r="M159" i="1"/>
  <c r="M171" i="1"/>
  <c r="M183" i="1"/>
  <c r="M195" i="1"/>
  <c r="M207" i="1"/>
  <c r="M219" i="1"/>
  <c r="M231" i="1"/>
  <c r="M243" i="1"/>
  <c r="M255" i="1"/>
  <c r="M267" i="1"/>
  <c r="M279" i="1"/>
  <c r="M291" i="1"/>
  <c r="M303" i="1"/>
  <c r="M315" i="1"/>
  <c r="M327" i="1"/>
  <c r="M339" i="1"/>
  <c r="L23" i="1"/>
  <c r="L35" i="1"/>
  <c r="L47" i="1"/>
  <c r="L59" i="1"/>
  <c r="L71" i="1"/>
  <c r="L83" i="1"/>
  <c r="L95" i="1"/>
  <c r="L107" i="1"/>
  <c r="L119" i="1"/>
  <c r="N119" i="1" s="1"/>
  <c r="L131" i="1"/>
  <c r="N131" i="1" s="1"/>
  <c r="L143" i="1"/>
  <c r="L155" i="1"/>
  <c r="L167" i="1"/>
  <c r="M4" i="1"/>
  <c r="M16" i="1"/>
  <c r="M28" i="1"/>
  <c r="M40" i="1"/>
  <c r="M52" i="1"/>
  <c r="M64" i="1"/>
  <c r="M76" i="1"/>
  <c r="M88" i="1"/>
  <c r="M100" i="1"/>
  <c r="M112" i="1"/>
  <c r="M124" i="1"/>
  <c r="M136" i="1"/>
  <c r="M148" i="1"/>
  <c r="M160" i="1"/>
  <c r="M172" i="1"/>
  <c r="M184" i="1"/>
  <c r="M196" i="1"/>
  <c r="M208" i="1"/>
  <c r="M220" i="1"/>
  <c r="M232" i="1"/>
  <c r="M244" i="1"/>
  <c r="M256" i="1"/>
  <c r="M268" i="1"/>
  <c r="M280" i="1"/>
  <c r="M292" i="1"/>
  <c r="M304" i="1"/>
  <c r="M316" i="1"/>
  <c r="M328" i="1"/>
  <c r="M340" i="1"/>
  <c r="L24" i="1"/>
  <c r="L36" i="1"/>
  <c r="L48" i="1"/>
  <c r="L60" i="1"/>
  <c r="L72" i="1"/>
  <c r="L84" i="1"/>
  <c r="L96" i="1"/>
  <c r="L108" i="1"/>
  <c r="L120" i="1"/>
  <c r="N120" i="1" s="1"/>
  <c r="M5" i="1"/>
  <c r="M17" i="1"/>
  <c r="M29" i="1"/>
  <c r="M41" i="1"/>
  <c r="M53" i="1"/>
  <c r="M65" i="1"/>
  <c r="M77" i="1"/>
  <c r="M89" i="1"/>
  <c r="M101" i="1"/>
  <c r="M113" i="1"/>
  <c r="M125" i="1"/>
  <c r="M137" i="1"/>
  <c r="M149" i="1"/>
  <c r="M161" i="1"/>
  <c r="M173" i="1"/>
  <c r="M185" i="1"/>
  <c r="M197" i="1"/>
  <c r="M209" i="1"/>
  <c r="M221" i="1"/>
  <c r="M233" i="1"/>
  <c r="M245" i="1"/>
  <c r="M257" i="1"/>
  <c r="M269" i="1"/>
  <c r="M281" i="1"/>
  <c r="M293" i="1"/>
  <c r="M305" i="1"/>
  <c r="M317" i="1"/>
  <c r="M329" i="1"/>
  <c r="M341" i="1"/>
  <c r="L25" i="1"/>
  <c r="L37" i="1"/>
  <c r="L49" i="1"/>
  <c r="L61" i="1"/>
  <c r="L73" i="1"/>
  <c r="L85" i="1"/>
  <c r="L97" i="1"/>
  <c r="N97" i="1" s="1"/>
  <c r="L109" i="1"/>
  <c r="N109" i="1" s="1"/>
  <c r="L121" i="1"/>
  <c r="L133" i="1"/>
  <c r="N133" i="1" s="1"/>
  <c r="L145" i="1"/>
  <c r="L157" i="1"/>
  <c r="L169" i="1"/>
  <c r="M11" i="1"/>
  <c r="M23" i="1"/>
  <c r="M35" i="1"/>
  <c r="M47" i="1"/>
  <c r="M59" i="1"/>
  <c r="M71" i="1"/>
  <c r="M83" i="1"/>
  <c r="M95" i="1"/>
  <c r="M107" i="1"/>
  <c r="M119" i="1"/>
  <c r="M131" i="1"/>
  <c r="M143" i="1"/>
  <c r="M155" i="1"/>
  <c r="M167" i="1"/>
  <c r="M179" i="1"/>
  <c r="M191" i="1"/>
  <c r="M203" i="1"/>
  <c r="M215" i="1"/>
  <c r="M227" i="1"/>
  <c r="M239" i="1"/>
  <c r="M251" i="1"/>
  <c r="M263" i="1"/>
  <c r="M275" i="1"/>
  <c r="M287" i="1"/>
  <c r="M299" i="1"/>
  <c r="M311" i="1"/>
  <c r="M323" i="1"/>
  <c r="M335" i="1"/>
  <c r="M347" i="1"/>
  <c r="L31" i="1"/>
  <c r="L43" i="1"/>
  <c r="L55" i="1"/>
  <c r="L67" i="1"/>
  <c r="L79" i="1"/>
  <c r="L91" i="1"/>
  <c r="N91" i="1" s="1"/>
  <c r="L103" i="1"/>
  <c r="N103" i="1" s="1"/>
  <c r="L115" i="1"/>
  <c r="N115" i="1" s="1"/>
  <c r="L127" i="1"/>
  <c r="N127" i="1" s="1"/>
  <c r="L139" i="1"/>
  <c r="N139" i="1" s="1"/>
  <c r="L151" i="1"/>
  <c r="M12" i="1"/>
  <c r="M24" i="1"/>
  <c r="M36" i="1"/>
  <c r="M48" i="1"/>
  <c r="M60" i="1"/>
  <c r="M72" i="1"/>
  <c r="M84" i="1"/>
  <c r="M96" i="1"/>
  <c r="M108" i="1"/>
  <c r="M120" i="1"/>
  <c r="M132" i="1"/>
  <c r="M144" i="1"/>
  <c r="M156" i="1"/>
  <c r="M168" i="1"/>
  <c r="M180" i="1"/>
  <c r="M192" i="1"/>
  <c r="M204" i="1"/>
  <c r="M216" i="1"/>
  <c r="M228" i="1"/>
  <c r="M240" i="1"/>
  <c r="M252" i="1"/>
  <c r="M264" i="1"/>
  <c r="M276" i="1"/>
  <c r="M288" i="1"/>
  <c r="M300" i="1"/>
  <c r="M312" i="1"/>
  <c r="M324" i="1"/>
  <c r="M336" i="1"/>
  <c r="M2" i="1"/>
  <c r="L32" i="1"/>
  <c r="L44" i="1"/>
  <c r="L56" i="1"/>
  <c r="L68" i="1"/>
  <c r="L80" i="1"/>
  <c r="L92" i="1"/>
  <c r="N92" i="1" s="1"/>
  <c r="L104" i="1"/>
  <c r="N104" i="1" s="1"/>
  <c r="M13" i="1"/>
  <c r="M25" i="1"/>
  <c r="M37" i="1"/>
  <c r="M49" i="1"/>
  <c r="M61" i="1"/>
  <c r="M73" i="1"/>
  <c r="M85" i="1"/>
  <c r="M97" i="1"/>
  <c r="M109" i="1"/>
  <c r="M121" i="1"/>
  <c r="M133" i="1"/>
  <c r="M145" i="1"/>
  <c r="M157" i="1"/>
  <c r="M169" i="1"/>
  <c r="M181" i="1"/>
  <c r="M193" i="1"/>
  <c r="M205" i="1"/>
  <c r="M217" i="1"/>
  <c r="M229" i="1"/>
  <c r="M241" i="1"/>
  <c r="M253" i="1"/>
  <c r="M265" i="1"/>
  <c r="M277" i="1"/>
  <c r="M289" i="1"/>
  <c r="M301" i="1"/>
  <c r="M313" i="1"/>
  <c r="M325" i="1"/>
  <c r="M337" i="1"/>
  <c r="L21" i="1"/>
  <c r="L33" i="1"/>
  <c r="L45" i="1"/>
  <c r="L57" i="1"/>
  <c r="L69" i="1"/>
  <c r="L81" i="1"/>
  <c r="L93" i="1"/>
  <c r="N93" i="1" s="1"/>
  <c r="L105" i="1"/>
  <c r="N105" i="1" s="1"/>
  <c r="L117" i="1"/>
  <c r="N117" i="1" s="1"/>
  <c r="L129" i="1"/>
  <c r="N129" i="1" s="1"/>
  <c r="M14" i="1"/>
  <c r="M26" i="1"/>
  <c r="M38" i="1"/>
  <c r="M50" i="1"/>
  <c r="M62" i="1"/>
  <c r="M74" i="1"/>
  <c r="M86" i="1"/>
  <c r="M98" i="1"/>
  <c r="M110" i="1"/>
  <c r="M122" i="1"/>
  <c r="M134" i="1"/>
  <c r="M146" i="1"/>
  <c r="M158" i="1"/>
  <c r="M170" i="1"/>
  <c r="M182" i="1"/>
  <c r="M194" i="1"/>
  <c r="M206" i="1"/>
  <c r="M218" i="1"/>
  <c r="M230" i="1"/>
  <c r="M242" i="1"/>
  <c r="M254" i="1"/>
  <c r="M266" i="1"/>
  <c r="M278" i="1"/>
  <c r="M290" i="1"/>
  <c r="M302" i="1"/>
  <c r="M314" i="1"/>
  <c r="M326" i="1"/>
  <c r="M338" i="1"/>
  <c r="L22" i="1"/>
  <c r="L34" i="1"/>
  <c r="L46" i="1"/>
  <c r="L58" i="1"/>
  <c r="L70" i="1"/>
  <c r="L82" i="1"/>
  <c r="L94" i="1"/>
  <c r="N94" i="1" s="1"/>
  <c r="L106" i="1"/>
  <c r="N106" i="1" s="1"/>
  <c r="L118" i="1"/>
  <c r="N118" i="1" s="1"/>
  <c r="L130" i="1"/>
  <c r="N130" i="1" s="1"/>
  <c r="L320" i="1"/>
  <c r="N320" i="1" s="1"/>
  <c r="L319" i="1"/>
  <c r="N319" i="1" s="1"/>
  <c r="L223" i="1"/>
  <c r="L9" i="1"/>
  <c r="L258" i="1"/>
  <c r="N258" i="1" s="1"/>
  <c r="L18" i="1"/>
  <c r="L291" i="1"/>
  <c r="N291" i="1" s="1"/>
  <c r="L13" i="1"/>
  <c r="L346" i="1"/>
  <c r="N346" i="1" s="1"/>
  <c r="L334" i="1"/>
  <c r="N334" i="1" s="1"/>
  <c r="L322" i="1"/>
  <c r="N322" i="1" s="1"/>
  <c r="L310" i="1"/>
  <c r="N310" i="1" s="1"/>
  <c r="L298" i="1"/>
  <c r="N298" i="1" s="1"/>
  <c r="L286" i="1"/>
  <c r="N286" i="1" s="1"/>
  <c r="L274" i="1"/>
  <c r="N274" i="1" s="1"/>
  <c r="L262" i="1"/>
  <c r="L250" i="1"/>
  <c r="L238" i="1"/>
  <c r="N238" i="1" s="1"/>
  <c r="L226" i="1"/>
  <c r="N226" i="1" s="1"/>
  <c r="L214" i="1"/>
  <c r="N214" i="1" s="1"/>
  <c r="L202" i="1"/>
  <c r="N202" i="1" s="1"/>
  <c r="L190" i="1"/>
  <c r="N190" i="1" s="1"/>
  <c r="L178" i="1"/>
  <c r="N178" i="1" s="1"/>
  <c r="L164" i="1"/>
  <c r="N164" i="1" s="1"/>
  <c r="L149" i="1"/>
  <c r="N149" i="1" s="1"/>
  <c r="L134" i="1"/>
  <c r="L111" i="1"/>
  <c r="N111" i="1" s="1"/>
  <c r="L78" i="1"/>
  <c r="L52" i="1"/>
  <c r="L26" i="1"/>
  <c r="M321" i="1"/>
  <c r="M295" i="1"/>
  <c r="M262" i="1"/>
  <c r="M236" i="1"/>
  <c r="M210" i="1"/>
  <c r="M177" i="1"/>
  <c r="M151" i="1"/>
  <c r="M118" i="1"/>
  <c r="M92" i="1"/>
  <c r="M66" i="1"/>
  <c r="M33" i="1"/>
  <c r="M7" i="1"/>
  <c r="O107" i="1"/>
  <c r="Q107" i="1" s="1"/>
  <c r="P126" i="1"/>
  <c r="P100" i="1"/>
  <c r="O323" i="1"/>
  <c r="Q323" i="1" s="1"/>
  <c r="O287" i="1"/>
  <c r="Q287" i="1" s="1"/>
  <c r="O251" i="1"/>
  <c r="Q251" i="1" s="1"/>
  <c r="O215" i="1"/>
  <c r="Q215" i="1" s="1"/>
  <c r="O179" i="1"/>
  <c r="Q179" i="1" s="1"/>
  <c r="O143" i="1"/>
  <c r="Q143" i="1" s="1"/>
  <c r="P320" i="1"/>
  <c r="P282" i="1"/>
  <c r="P234" i="1"/>
  <c r="P186" i="1"/>
  <c r="P138" i="1"/>
  <c r="N121" i="1" l="1"/>
  <c r="N251" i="1"/>
  <c r="N171" i="1"/>
  <c r="N264" i="1"/>
  <c r="N168" i="1"/>
  <c r="N137" i="1"/>
  <c r="N267" i="1"/>
  <c r="N196" i="1"/>
  <c r="N340" i="1"/>
  <c r="N209" i="1"/>
  <c r="Q96" i="1"/>
  <c r="Q252" i="1"/>
  <c r="Q332" i="1"/>
  <c r="Q188" i="1"/>
  <c r="Q113" i="1"/>
  <c r="Q210" i="1"/>
  <c r="Q103" i="1"/>
  <c r="N270" i="1"/>
  <c r="Q169" i="1"/>
  <c r="N331" i="1"/>
  <c r="Q249" i="1"/>
  <c r="N162" i="1"/>
  <c r="N273" i="1"/>
  <c r="N276" i="1"/>
  <c r="N193" i="1"/>
  <c r="N181" i="1"/>
  <c r="Q191" i="1"/>
  <c r="N207" i="1"/>
  <c r="N208" i="1"/>
  <c r="N221" i="1"/>
  <c r="Q320" i="1"/>
  <c r="Q176" i="1"/>
  <c r="Q101" i="1"/>
  <c r="Q259" i="1"/>
  <c r="Q342" i="1"/>
  <c r="Q198" i="1"/>
  <c r="Q129" i="1"/>
  <c r="Q205" i="1"/>
  <c r="N308" i="1"/>
  <c r="Q285" i="1"/>
  <c r="N237" i="1"/>
  <c r="N321" i="1"/>
  <c r="N205" i="1"/>
  <c r="Q189" i="1"/>
  <c r="N136" i="1"/>
  <c r="N288" i="1"/>
  <c r="N217" i="1"/>
  <c r="N156" i="1"/>
  <c r="N229" i="1"/>
  <c r="N243" i="1"/>
  <c r="N220" i="1"/>
  <c r="Q128" i="1"/>
  <c r="N233" i="1"/>
  <c r="Q269" i="1"/>
  <c r="Q208" i="1"/>
  <c r="Q291" i="1"/>
  <c r="Q147" i="1"/>
  <c r="Q230" i="1"/>
  <c r="Q228" i="1"/>
  <c r="Q247" i="1"/>
  <c r="Q330" i="1"/>
  <c r="Q186" i="1"/>
  <c r="Q241" i="1"/>
  <c r="Q321" i="1"/>
  <c r="N188" i="1"/>
  <c r="N108" i="1"/>
  <c r="N287" i="1"/>
  <c r="N241" i="1"/>
  <c r="N152" i="1"/>
  <c r="N300" i="1"/>
  <c r="N253" i="1"/>
  <c r="N195" i="1"/>
  <c r="N265" i="1"/>
  <c r="N170" i="1"/>
  <c r="N303" i="1"/>
  <c r="Q127" i="1"/>
  <c r="N232" i="1"/>
  <c r="N245" i="1"/>
  <c r="N257" i="1"/>
  <c r="Q218" i="1"/>
  <c r="Q216" i="1"/>
  <c r="Q296" i="1"/>
  <c r="Q152" i="1"/>
  <c r="Q235" i="1"/>
  <c r="N307" i="1"/>
  <c r="Q277" i="1"/>
  <c r="Q322" i="1"/>
  <c r="N200" i="1"/>
  <c r="N132" i="1"/>
  <c r="N189" i="1"/>
  <c r="N151" i="1"/>
  <c r="N96" i="1"/>
  <c r="N167" i="1"/>
  <c r="N299" i="1"/>
  <c r="N277" i="1"/>
  <c r="N161" i="1"/>
  <c r="N312" i="1"/>
  <c r="N289" i="1"/>
  <c r="N231" i="1"/>
  <c r="N301" i="1"/>
  <c r="N182" i="1"/>
  <c r="N339" i="1"/>
  <c r="N244" i="1"/>
  <c r="N269" i="1"/>
  <c r="N281" i="1"/>
  <c r="Q109" i="1"/>
  <c r="Q206" i="1"/>
  <c r="Q204" i="1"/>
  <c r="Q126" i="1"/>
  <c r="Q284" i="1"/>
  <c r="Q140" i="1"/>
  <c r="Q306" i="1"/>
  <c r="Q162" i="1"/>
  <c r="N100" i="1"/>
  <c r="Q313" i="1"/>
  <c r="N212" i="1"/>
  <c r="N155" i="1"/>
  <c r="N311" i="1"/>
  <c r="N325" i="1"/>
  <c r="N295" i="1"/>
  <c r="N180" i="1"/>
  <c r="N324" i="1"/>
  <c r="N313" i="1"/>
  <c r="N315" i="1"/>
  <c r="N337" i="1"/>
  <c r="N284" i="1"/>
  <c r="Q335" i="1"/>
  <c r="N194" i="1"/>
  <c r="N256" i="1"/>
  <c r="N305" i="1"/>
  <c r="N99" i="1"/>
  <c r="N293" i="1"/>
  <c r="Q338" i="1"/>
  <c r="Q194" i="1"/>
  <c r="Q192" i="1"/>
  <c r="Q114" i="1"/>
  <c r="Q211" i="1"/>
  <c r="Q294" i="1"/>
  <c r="Q150" i="1"/>
  <c r="Q167" i="1"/>
  <c r="N125" i="1"/>
  <c r="Q214" i="1"/>
  <c r="Q347" i="1"/>
  <c r="Q105" i="1"/>
  <c r="N224" i="1"/>
  <c r="N110" i="1"/>
  <c r="N143" i="1"/>
  <c r="N179" i="1"/>
  <c r="N323" i="1"/>
  <c r="Q333" i="1"/>
  <c r="N192" i="1"/>
  <c r="N336" i="1"/>
  <c r="N230" i="1"/>
  <c r="N206" i="1"/>
  <c r="N342" i="1"/>
  <c r="N98" i="1"/>
  <c r="N268" i="1"/>
  <c r="N329" i="1"/>
  <c r="N124" i="1"/>
  <c r="N317" i="1"/>
  <c r="Q326" i="1"/>
  <c r="Q182" i="1"/>
  <c r="Q324" i="1"/>
  <c r="Q180" i="1"/>
  <c r="Q102" i="1"/>
  <c r="Q260" i="1"/>
  <c r="Q343" i="1"/>
  <c r="Q199" i="1"/>
  <c r="Q282" i="1"/>
  <c r="Q138" i="1"/>
  <c r="Q203" i="1"/>
  <c r="N144" i="1"/>
  <c r="Q106" i="1"/>
  <c r="Q131" i="1"/>
  <c r="N236" i="1"/>
  <c r="N309" i="1"/>
  <c r="N191" i="1"/>
  <c r="N335" i="1"/>
  <c r="N242" i="1"/>
  <c r="N204" i="1"/>
  <c r="N218" i="1"/>
  <c r="N282" i="1"/>
  <c r="N278" i="1"/>
  <c r="N254" i="1"/>
  <c r="N187" i="1"/>
  <c r="N122" i="1"/>
  <c r="N123" i="1"/>
  <c r="N280" i="1"/>
  <c r="N142" i="1"/>
  <c r="N341" i="1"/>
  <c r="Q314" i="1"/>
  <c r="Q170" i="1"/>
  <c r="Q312" i="1"/>
  <c r="Q168" i="1"/>
  <c r="Q248" i="1"/>
  <c r="Q331" i="1"/>
  <c r="Q187" i="1"/>
  <c r="Q112" i="1"/>
  <c r="Q239" i="1"/>
  <c r="N160" i="1"/>
  <c r="Q104" i="1"/>
  <c r="N248" i="1"/>
  <c r="N250" i="1"/>
  <c r="N262" i="1"/>
  <c r="N169" i="1"/>
  <c r="N203" i="1"/>
  <c r="N347" i="1"/>
  <c r="N290" i="1"/>
  <c r="N216" i="1"/>
  <c r="N266" i="1"/>
  <c r="N326" i="1"/>
  <c r="N302" i="1"/>
  <c r="N283" i="1"/>
  <c r="N219" i="1"/>
  <c r="N292" i="1"/>
  <c r="N306" i="1"/>
  <c r="N159" i="1"/>
  <c r="Q302" i="1"/>
  <c r="Q158" i="1"/>
  <c r="Q300" i="1"/>
  <c r="Q156" i="1"/>
  <c r="Q236" i="1"/>
  <c r="Q319" i="1"/>
  <c r="Q175" i="1"/>
  <c r="Q100" i="1"/>
  <c r="Q258" i="1"/>
  <c r="Q275" i="1"/>
  <c r="N174" i="1"/>
  <c r="Q130" i="1"/>
  <c r="N148" i="1"/>
  <c r="N333" i="1"/>
  <c r="N223" i="1"/>
  <c r="N157" i="1"/>
  <c r="N107" i="1"/>
  <c r="N215" i="1"/>
  <c r="N338" i="1"/>
  <c r="N228" i="1"/>
  <c r="N314" i="1"/>
  <c r="N272" i="1"/>
  <c r="N279" i="1"/>
  <c r="N158" i="1"/>
  <c r="N304" i="1"/>
  <c r="N173" i="1"/>
  <c r="Q132" i="1"/>
  <c r="Q290" i="1"/>
  <c r="Q146" i="1"/>
  <c r="Q288" i="1"/>
  <c r="Q144" i="1"/>
  <c r="Q224" i="1"/>
  <c r="Q307" i="1"/>
  <c r="Q163" i="1"/>
  <c r="Q246" i="1"/>
  <c r="Q311" i="1"/>
  <c r="N186" i="1"/>
  <c r="Q141" i="1"/>
  <c r="N102" i="1"/>
  <c r="Q142" i="1"/>
  <c r="N297" i="1"/>
  <c r="N177" i="1"/>
  <c r="N213" i="1"/>
  <c r="N134" i="1"/>
  <c r="N145" i="1"/>
  <c r="N95" i="1"/>
  <c r="N227" i="1"/>
  <c r="N240" i="1"/>
  <c r="N332" i="1"/>
  <c r="Q334" i="1"/>
  <c r="N172" i="1"/>
  <c r="N316" i="1"/>
  <c r="N271" i="1"/>
  <c r="N185" i="1"/>
  <c r="N146" i="1"/>
  <c r="Q120" i="1"/>
  <c r="Q278" i="1"/>
  <c r="Q276" i="1"/>
  <c r="Q212" i="1"/>
  <c r="Q295" i="1"/>
  <c r="Q151" i="1"/>
  <c r="Q234" i="1"/>
  <c r="Q346" i="1"/>
  <c r="N198" i="1"/>
  <c r="N101" i="1"/>
  <c r="Q177" i="1"/>
  <c r="N128" i="1"/>
  <c r="N163" i="1"/>
  <c r="N201" i="1"/>
</calcChain>
</file>

<file path=xl/sharedStrings.xml><?xml version="1.0" encoding="utf-8"?>
<sst xmlns="http://schemas.openxmlformats.org/spreadsheetml/2006/main" count="366" uniqueCount="22">
  <si>
    <t>Tiempo(s)</t>
  </si>
  <si>
    <t>Voltaje_PC</t>
  </si>
  <si>
    <t>Voltaje_ESP32</t>
  </si>
  <si>
    <t>Setpoint_V</t>
  </si>
  <si>
    <t>Estado</t>
  </si>
  <si>
    <t>UP</t>
  </si>
  <si>
    <t>DOWN</t>
  </si>
  <si>
    <t>MOTOR_REAL</t>
  </si>
  <si>
    <t>MANUAL_CMD</t>
  </si>
  <si>
    <t>PURGA_TIMER</t>
  </si>
  <si>
    <t>ARCO APAGADO</t>
  </si>
  <si>
    <t>SUBIENDO</t>
  </si>
  <si>
    <t>OK (BANDA MUERTA)</t>
  </si>
  <si>
    <t>BAJANDO</t>
  </si>
  <si>
    <t>desv</t>
  </si>
  <si>
    <t>prom</t>
  </si>
  <si>
    <t>RUIDO SUP/PC</t>
  </si>
  <si>
    <t>RUIDO INF/PC</t>
  </si>
  <si>
    <t>RUIDO SUP/EPS32</t>
  </si>
  <si>
    <t>RUIDO INF/ESP32</t>
  </si>
  <si>
    <t>BANDARUIDO/PC</t>
  </si>
  <si>
    <t>BANDARUIDO/ESP32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</si>
</sst>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ANALISIS</a:t>
            </a:r>
            <a:r>
              <a:rPr lang="en-US" baseline="0"/>
              <a:t> DE ATENUACIÓN DE RUIDO EN ESTADO ESTACIONARIO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52378720"/>
        <c:axId val="2052381600"/>
        <c:extLst>
          <c:ext xmlns:c15="http://schemas.microsoft.com/office/drawing/2012/chart" uri="{02D57815-91ED-43cb-92C2-25804820EDAC}">
            <c15:filteredArea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datalog_FINAL_1777319982!$L$1</c15:sqref>
                        </c15:formulaRef>
                      </c:ext>
                    </c:extLst>
                    <c:strCache>
                      <c:ptCount val="1"/>
                      <c:pt idx="0">
                        <c:v>RUIDO SUP/PC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datalog_FINAL_1777319982!$A$90:$A$346</c15:sqref>
                        </c15:formulaRef>
                      </c:ext>
                    </c:extLst>
                    <c:numCache>
                      <c:formatCode>General</c:formatCode>
                      <c:ptCount val="146"/>
                      <c:pt idx="0">
                        <c:v>21.74</c:v>
                      </c:pt>
                      <c:pt idx="1">
                        <c:v>21.99</c:v>
                      </c:pt>
                      <c:pt idx="2">
                        <c:v>22.25</c:v>
                      </c:pt>
                      <c:pt idx="3">
                        <c:v>22.5</c:v>
                      </c:pt>
                      <c:pt idx="4">
                        <c:v>22.75</c:v>
                      </c:pt>
                      <c:pt idx="5">
                        <c:v>23</c:v>
                      </c:pt>
                      <c:pt idx="6">
                        <c:v>23.25</c:v>
                      </c:pt>
                      <c:pt idx="7">
                        <c:v>23.5</c:v>
                      </c:pt>
                      <c:pt idx="8">
                        <c:v>23.76</c:v>
                      </c:pt>
                      <c:pt idx="9">
                        <c:v>24.01</c:v>
                      </c:pt>
                      <c:pt idx="10">
                        <c:v>24.26</c:v>
                      </c:pt>
                      <c:pt idx="11">
                        <c:v>24.52</c:v>
                      </c:pt>
                      <c:pt idx="12">
                        <c:v>24.77</c:v>
                      </c:pt>
                      <c:pt idx="13">
                        <c:v>25.02</c:v>
                      </c:pt>
                      <c:pt idx="14">
                        <c:v>25.27</c:v>
                      </c:pt>
                      <c:pt idx="15">
                        <c:v>25.53</c:v>
                      </c:pt>
                      <c:pt idx="16">
                        <c:v>25.78</c:v>
                      </c:pt>
                      <c:pt idx="17">
                        <c:v>26.03</c:v>
                      </c:pt>
                      <c:pt idx="18">
                        <c:v>26.28</c:v>
                      </c:pt>
                      <c:pt idx="19">
                        <c:v>26.55</c:v>
                      </c:pt>
                      <c:pt idx="20">
                        <c:v>26.79</c:v>
                      </c:pt>
                      <c:pt idx="21">
                        <c:v>27.04</c:v>
                      </c:pt>
                      <c:pt idx="22">
                        <c:v>27.29</c:v>
                      </c:pt>
                      <c:pt idx="23">
                        <c:v>27.55</c:v>
                      </c:pt>
                      <c:pt idx="24">
                        <c:v>27.8</c:v>
                      </c:pt>
                      <c:pt idx="25">
                        <c:v>28.06</c:v>
                      </c:pt>
                      <c:pt idx="26">
                        <c:v>28.31</c:v>
                      </c:pt>
                      <c:pt idx="27">
                        <c:v>28.56</c:v>
                      </c:pt>
                      <c:pt idx="28">
                        <c:v>28.82</c:v>
                      </c:pt>
                      <c:pt idx="29">
                        <c:v>29.07</c:v>
                      </c:pt>
                      <c:pt idx="30">
                        <c:v>29.32</c:v>
                      </c:pt>
                      <c:pt idx="31">
                        <c:v>29.57</c:v>
                      </c:pt>
                      <c:pt idx="32">
                        <c:v>29.83</c:v>
                      </c:pt>
                      <c:pt idx="33">
                        <c:v>30.08</c:v>
                      </c:pt>
                      <c:pt idx="34">
                        <c:v>30.33</c:v>
                      </c:pt>
                      <c:pt idx="35">
                        <c:v>30.58</c:v>
                      </c:pt>
                      <c:pt idx="36">
                        <c:v>30.84</c:v>
                      </c:pt>
                      <c:pt idx="37">
                        <c:v>31.09</c:v>
                      </c:pt>
                      <c:pt idx="38">
                        <c:v>31.34</c:v>
                      </c:pt>
                      <c:pt idx="39">
                        <c:v>31.6</c:v>
                      </c:pt>
                      <c:pt idx="40">
                        <c:v>31.85</c:v>
                      </c:pt>
                      <c:pt idx="41">
                        <c:v>32.1</c:v>
                      </c:pt>
                      <c:pt idx="42">
                        <c:v>32.35</c:v>
                      </c:pt>
                      <c:pt idx="43">
                        <c:v>32.61</c:v>
                      </c:pt>
                      <c:pt idx="44">
                        <c:v>32.86</c:v>
                      </c:pt>
                      <c:pt idx="45">
                        <c:v>33.11</c:v>
                      </c:pt>
                      <c:pt idx="46">
                        <c:v>33.36</c:v>
                      </c:pt>
                      <c:pt idx="47">
                        <c:v>33.61</c:v>
                      </c:pt>
                      <c:pt idx="48">
                        <c:v>33.869999999999997</c:v>
                      </c:pt>
                      <c:pt idx="49">
                        <c:v>34.119999999999997</c:v>
                      </c:pt>
                      <c:pt idx="50">
                        <c:v>34.369999999999997</c:v>
                      </c:pt>
                      <c:pt idx="51">
                        <c:v>34.619999999999997</c:v>
                      </c:pt>
                      <c:pt idx="52">
                        <c:v>34.880000000000003</c:v>
                      </c:pt>
                      <c:pt idx="53">
                        <c:v>35.130000000000003</c:v>
                      </c:pt>
                      <c:pt idx="54">
                        <c:v>35.380000000000003</c:v>
                      </c:pt>
                      <c:pt idx="55">
                        <c:v>35.64</c:v>
                      </c:pt>
                      <c:pt idx="56">
                        <c:v>35.89</c:v>
                      </c:pt>
                      <c:pt idx="57">
                        <c:v>36.14</c:v>
                      </c:pt>
                      <c:pt idx="58">
                        <c:v>36.39</c:v>
                      </c:pt>
                      <c:pt idx="59">
                        <c:v>36.64</c:v>
                      </c:pt>
                      <c:pt idx="60">
                        <c:v>36.89</c:v>
                      </c:pt>
                      <c:pt idx="61">
                        <c:v>37.15</c:v>
                      </c:pt>
                      <c:pt idx="62">
                        <c:v>37.4</c:v>
                      </c:pt>
                      <c:pt idx="63">
                        <c:v>37.65</c:v>
                      </c:pt>
                      <c:pt idx="64">
                        <c:v>37.9</c:v>
                      </c:pt>
                      <c:pt idx="65">
                        <c:v>38.159999999999997</c:v>
                      </c:pt>
                      <c:pt idx="66">
                        <c:v>38.42</c:v>
                      </c:pt>
                      <c:pt idx="67">
                        <c:v>38.659999999999997</c:v>
                      </c:pt>
                      <c:pt idx="68">
                        <c:v>38.909999999999997</c:v>
                      </c:pt>
                      <c:pt idx="69">
                        <c:v>39.159999999999997</c:v>
                      </c:pt>
                      <c:pt idx="70">
                        <c:v>39.42</c:v>
                      </c:pt>
                      <c:pt idx="71">
                        <c:v>39.67</c:v>
                      </c:pt>
                      <c:pt idx="72">
                        <c:v>39.92</c:v>
                      </c:pt>
                      <c:pt idx="73">
                        <c:v>40.17</c:v>
                      </c:pt>
                      <c:pt idx="74">
                        <c:v>40.42</c:v>
                      </c:pt>
                      <c:pt idx="75">
                        <c:v>40.68</c:v>
                      </c:pt>
                      <c:pt idx="76">
                        <c:v>40.93</c:v>
                      </c:pt>
                      <c:pt idx="77">
                        <c:v>41.18</c:v>
                      </c:pt>
                      <c:pt idx="78">
                        <c:v>41.44</c:v>
                      </c:pt>
                      <c:pt idx="79">
                        <c:v>41.69</c:v>
                      </c:pt>
                      <c:pt idx="80">
                        <c:v>41.94</c:v>
                      </c:pt>
                      <c:pt idx="81">
                        <c:v>42.19</c:v>
                      </c:pt>
                      <c:pt idx="82">
                        <c:v>42.45</c:v>
                      </c:pt>
                      <c:pt idx="83">
                        <c:v>42.7</c:v>
                      </c:pt>
                      <c:pt idx="84">
                        <c:v>42.96</c:v>
                      </c:pt>
                      <c:pt idx="85">
                        <c:v>43.2</c:v>
                      </c:pt>
                      <c:pt idx="86">
                        <c:v>43.45</c:v>
                      </c:pt>
                      <c:pt idx="87">
                        <c:v>43.71</c:v>
                      </c:pt>
                      <c:pt idx="88">
                        <c:v>43.96</c:v>
                      </c:pt>
                      <c:pt idx="89">
                        <c:v>44.21</c:v>
                      </c:pt>
                      <c:pt idx="90">
                        <c:v>44.47</c:v>
                      </c:pt>
                      <c:pt idx="91">
                        <c:v>44.71</c:v>
                      </c:pt>
                      <c:pt idx="92">
                        <c:v>44.96</c:v>
                      </c:pt>
                      <c:pt idx="93">
                        <c:v>45.22</c:v>
                      </c:pt>
                      <c:pt idx="94">
                        <c:v>45.47</c:v>
                      </c:pt>
                      <c:pt idx="95">
                        <c:v>45.72</c:v>
                      </c:pt>
                      <c:pt idx="96">
                        <c:v>45.97</c:v>
                      </c:pt>
                      <c:pt idx="97">
                        <c:v>46.23</c:v>
                      </c:pt>
                      <c:pt idx="98">
                        <c:v>46.48</c:v>
                      </c:pt>
                      <c:pt idx="99">
                        <c:v>46.73</c:v>
                      </c:pt>
                      <c:pt idx="100">
                        <c:v>46.98</c:v>
                      </c:pt>
                      <c:pt idx="101">
                        <c:v>47.23</c:v>
                      </c:pt>
                      <c:pt idx="102">
                        <c:v>47.49</c:v>
                      </c:pt>
                      <c:pt idx="103">
                        <c:v>47.74</c:v>
                      </c:pt>
                      <c:pt idx="104">
                        <c:v>47.99</c:v>
                      </c:pt>
                      <c:pt idx="105">
                        <c:v>48.24</c:v>
                      </c:pt>
                      <c:pt idx="106">
                        <c:v>48.49</c:v>
                      </c:pt>
                      <c:pt idx="107">
                        <c:v>48.75</c:v>
                      </c:pt>
                      <c:pt idx="108">
                        <c:v>49</c:v>
                      </c:pt>
                      <c:pt idx="109">
                        <c:v>49.25</c:v>
                      </c:pt>
                      <c:pt idx="110">
                        <c:v>49.51</c:v>
                      </c:pt>
                      <c:pt idx="111">
                        <c:v>49.76</c:v>
                      </c:pt>
                      <c:pt idx="112">
                        <c:v>50.01</c:v>
                      </c:pt>
                      <c:pt idx="113">
                        <c:v>50.26</c:v>
                      </c:pt>
                      <c:pt idx="114">
                        <c:v>50.52</c:v>
                      </c:pt>
                      <c:pt idx="115">
                        <c:v>50.77</c:v>
                      </c:pt>
                      <c:pt idx="116">
                        <c:v>51.02</c:v>
                      </c:pt>
                      <c:pt idx="117">
                        <c:v>51.27</c:v>
                      </c:pt>
                      <c:pt idx="118">
                        <c:v>51.53</c:v>
                      </c:pt>
                      <c:pt idx="119">
                        <c:v>51.8</c:v>
                      </c:pt>
                      <c:pt idx="120">
                        <c:v>52.04</c:v>
                      </c:pt>
                      <c:pt idx="121">
                        <c:v>52.29</c:v>
                      </c:pt>
                      <c:pt idx="122">
                        <c:v>52.54</c:v>
                      </c:pt>
                      <c:pt idx="123">
                        <c:v>52.79</c:v>
                      </c:pt>
                      <c:pt idx="124">
                        <c:v>53.04</c:v>
                      </c:pt>
                      <c:pt idx="125">
                        <c:v>53.3</c:v>
                      </c:pt>
                      <c:pt idx="126">
                        <c:v>53.55</c:v>
                      </c:pt>
                      <c:pt idx="127">
                        <c:v>53.8</c:v>
                      </c:pt>
                      <c:pt idx="128">
                        <c:v>54.06</c:v>
                      </c:pt>
                      <c:pt idx="129">
                        <c:v>54.31</c:v>
                      </c:pt>
                      <c:pt idx="130">
                        <c:v>54.56</c:v>
                      </c:pt>
                      <c:pt idx="131">
                        <c:v>54.82</c:v>
                      </c:pt>
                      <c:pt idx="132">
                        <c:v>55.07</c:v>
                      </c:pt>
                      <c:pt idx="133">
                        <c:v>55.32</c:v>
                      </c:pt>
                      <c:pt idx="134">
                        <c:v>55.57</c:v>
                      </c:pt>
                      <c:pt idx="135">
                        <c:v>55.82</c:v>
                      </c:pt>
                      <c:pt idx="136">
                        <c:v>56.09</c:v>
                      </c:pt>
                      <c:pt idx="137">
                        <c:v>56.33</c:v>
                      </c:pt>
                      <c:pt idx="138">
                        <c:v>56.58</c:v>
                      </c:pt>
                      <c:pt idx="139">
                        <c:v>56.83</c:v>
                      </c:pt>
                      <c:pt idx="140">
                        <c:v>57.08</c:v>
                      </c:pt>
                      <c:pt idx="141">
                        <c:v>57.34</c:v>
                      </c:pt>
                      <c:pt idx="142">
                        <c:v>57.59</c:v>
                      </c:pt>
                      <c:pt idx="143">
                        <c:v>57.84</c:v>
                      </c:pt>
                      <c:pt idx="144">
                        <c:v>58.09</c:v>
                      </c:pt>
                      <c:pt idx="145">
                        <c:v>58.34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datalog_FINAL_1777319982!$L$90:$L$235</c15:sqref>
                        </c15:formulaRef>
                      </c:ext>
                    </c:extLst>
                    <c:numCache>
                      <c:formatCode>General</c:formatCode>
                      <c:ptCount val="146"/>
                      <c:pt idx="0">
                        <c:v>125.27283040102608</c:v>
                      </c:pt>
                      <c:pt idx="1">
                        <c:v>125.27283040102608</c:v>
                      </c:pt>
                      <c:pt idx="2">
                        <c:v>125.27283040102608</c:v>
                      </c:pt>
                      <c:pt idx="3">
                        <c:v>125.27283040102608</c:v>
                      </c:pt>
                      <c:pt idx="4">
                        <c:v>125.27283040102608</c:v>
                      </c:pt>
                      <c:pt idx="5">
                        <c:v>125.27283040102608</c:v>
                      </c:pt>
                      <c:pt idx="6">
                        <c:v>125.27283040102608</c:v>
                      </c:pt>
                      <c:pt idx="7">
                        <c:v>125.27283040102608</c:v>
                      </c:pt>
                      <c:pt idx="8">
                        <c:v>125.27283040102608</c:v>
                      </c:pt>
                      <c:pt idx="9">
                        <c:v>125.27283040102608</c:v>
                      </c:pt>
                      <c:pt idx="10">
                        <c:v>125.27283040102608</c:v>
                      </c:pt>
                      <c:pt idx="11">
                        <c:v>125.27283040102608</c:v>
                      </c:pt>
                      <c:pt idx="12">
                        <c:v>125.27283040102608</c:v>
                      </c:pt>
                      <c:pt idx="13">
                        <c:v>125.27283040102608</c:v>
                      </c:pt>
                      <c:pt idx="14">
                        <c:v>125.27283040102608</c:v>
                      </c:pt>
                      <c:pt idx="15">
                        <c:v>125.27283040102608</c:v>
                      </c:pt>
                      <c:pt idx="16">
                        <c:v>125.27283040102608</c:v>
                      </c:pt>
                      <c:pt idx="17">
                        <c:v>125.27283040102608</c:v>
                      </c:pt>
                      <c:pt idx="18">
                        <c:v>125.27283040102608</c:v>
                      </c:pt>
                      <c:pt idx="19">
                        <c:v>125.27283040102608</c:v>
                      </c:pt>
                      <c:pt idx="20">
                        <c:v>125.27283040102608</c:v>
                      </c:pt>
                      <c:pt idx="21">
                        <c:v>125.27283040102608</c:v>
                      </c:pt>
                      <c:pt idx="22">
                        <c:v>125.27283040102608</c:v>
                      </c:pt>
                      <c:pt idx="23">
                        <c:v>125.27283040102608</c:v>
                      </c:pt>
                      <c:pt idx="24">
                        <c:v>125.27283040102608</c:v>
                      </c:pt>
                      <c:pt idx="25">
                        <c:v>125.27283040102608</c:v>
                      </c:pt>
                      <c:pt idx="26">
                        <c:v>125.27283040102608</c:v>
                      </c:pt>
                      <c:pt idx="27">
                        <c:v>125.27283040102608</c:v>
                      </c:pt>
                      <c:pt idx="28">
                        <c:v>125.27283040102608</c:v>
                      </c:pt>
                      <c:pt idx="29">
                        <c:v>125.27283040102608</c:v>
                      </c:pt>
                      <c:pt idx="30">
                        <c:v>125.27283040102608</c:v>
                      </c:pt>
                      <c:pt idx="31">
                        <c:v>125.27283040102608</c:v>
                      </c:pt>
                      <c:pt idx="32">
                        <c:v>125.27283040102608</c:v>
                      </c:pt>
                      <c:pt idx="33">
                        <c:v>125.27283040102608</c:v>
                      </c:pt>
                      <c:pt idx="34">
                        <c:v>125.27283040102608</c:v>
                      </c:pt>
                      <c:pt idx="35">
                        <c:v>125.27283040102608</c:v>
                      </c:pt>
                      <c:pt idx="36">
                        <c:v>125.27283040102608</c:v>
                      </c:pt>
                      <c:pt idx="37">
                        <c:v>125.27283040102608</c:v>
                      </c:pt>
                      <c:pt idx="38">
                        <c:v>125.27283040102608</c:v>
                      </c:pt>
                      <c:pt idx="39">
                        <c:v>125.27283040102608</c:v>
                      </c:pt>
                      <c:pt idx="40">
                        <c:v>125.27283040102608</c:v>
                      </c:pt>
                      <c:pt idx="41">
                        <c:v>125.27283040102608</c:v>
                      </c:pt>
                      <c:pt idx="42">
                        <c:v>125.27283040102608</c:v>
                      </c:pt>
                      <c:pt idx="43">
                        <c:v>125.27283040102608</c:v>
                      </c:pt>
                      <c:pt idx="44">
                        <c:v>125.27283040102608</c:v>
                      </c:pt>
                      <c:pt idx="45">
                        <c:v>125.27283040102608</c:v>
                      </c:pt>
                      <c:pt idx="46">
                        <c:v>125.27283040102608</c:v>
                      </c:pt>
                      <c:pt idx="47">
                        <c:v>125.27283040102608</c:v>
                      </c:pt>
                      <c:pt idx="48">
                        <c:v>125.27283040102608</c:v>
                      </c:pt>
                      <c:pt idx="49">
                        <c:v>125.27283040102608</c:v>
                      </c:pt>
                      <c:pt idx="50">
                        <c:v>125.27283040102608</c:v>
                      </c:pt>
                      <c:pt idx="51">
                        <c:v>125.27283040102608</c:v>
                      </c:pt>
                      <c:pt idx="52">
                        <c:v>125.27283040102608</c:v>
                      </c:pt>
                      <c:pt idx="53">
                        <c:v>125.27283040102608</c:v>
                      </c:pt>
                      <c:pt idx="54">
                        <c:v>125.27283040102608</c:v>
                      </c:pt>
                      <c:pt idx="55">
                        <c:v>125.27283040102608</c:v>
                      </c:pt>
                      <c:pt idx="56">
                        <c:v>125.27283040102608</c:v>
                      </c:pt>
                      <c:pt idx="57">
                        <c:v>125.27283040102608</c:v>
                      </c:pt>
                      <c:pt idx="58">
                        <c:v>125.27283040102608</c:v>
                      </c:pt>
                      <c:pt idx="59">
                        <c:v>125.27283040102608</c:v>
                      </c:pt>
                      <c:pt idx="60">
                        <c:v>125.27283040102608</c:v>
                      </c:pt>
                      <c:pt idx="61">
                        <c:v>125.27283040102608</c:v>
                      </c:pt>
                      <c:pt idx="62">
                        <c:v>125.27283040102608</c:v>
                      </c:pt>
                      <c:pt idx="63">
                        <c:v>125.27283040102608</c:v>
                      </c:pt>
                      <c:pt idx="64">
                        <c:v>125.27283040102608</c:v>
                      </c:pt>
                      <c:pt idx="65">
                        <c:v>125.27283040102608</c:v>
                      </c:pt>
                      <c:pt idx="66">
                        <c:v>125.27283040102608</c:v>
                      </c:pt>
                      <c:pt idx="67">
                        <c:v>125.27283040102608</c:v>
                      </c:pt>
                      <c:pt idx="68">
                        <c:v>125.27283040102608</c:v>
                      </c:pt>
                      <c:pt idx="69">
                        <c:v>125.27283040102608</c:v>
                      </c:pt>
                      <c:pt idx="70">
                        <c:v>125.27283040102608</c:v>
                      </c:pt>
                      <c:pt idx="71">
                        <c:v>125.27283040102608</c:v>
                      </c:pt>
                      <c:pt idx="72">
                        <c:v>125.27283040102608</c:v>
                      </c:pt>
                      <c:pt idx="73">
                        <c:v>125.27283040102608</c:v>
                      </c:pt>
                      <c:pt idx="74">
                        <c:v>125.27283040102608</c:v>
                      </c:pt>
                      <c:pt idx="75">
                        <c:v>125.27283040102608</c:v>
                      </c:pt>
                      <c:pt idx="76">
                        <c:v>125.27283040102608</c:v>
                      </c:pt>
                      <c:pt idx="77">
                        <c:v>125.27283040102608</c:v>
                      </c:pt>
                      <c:pt idx="78">
                        <c:v>125.27283040102608</c:v>
                      </c:pt>
                      <c:pt idx="79">
                        <c:v>125.27283040102608</c:v>
                      </c:pt>
                      <c:pt idx="80">
                        <c:v>125.27283040102608</c:v>
                      </c:pt>
                      <c:pt idx="81">
                        <c:v>125.27283040102608</c:v>
                      </c:pt>
                      <c:pt idx="82">
                        <c:v>125.27283040102608</c:v>
                      </c:pt>
                      <c:pt idx="83">
                        <c:v>125.27283040102608</c:v>
                      </c:pt>
                      <c:pt idx="84">
                        <c:v>125.27283040102608</c:v>
                      </c:pt>
                      <c:pt idx="85">
                        <c:v>125.27283040102608</c:v>
                      </c:pt>
                      <c:pt idx="86">
                        <c:v>125.27283040102608</c:v>
                      </c:pt>
                      <c:pt idx="87">
                        <c:v>125.27283040102608</c:v>
                      </c:pt>
                      <c:pt idx="88">
                        <c:v>125.27283040102608</c:v>
                      </c:pt>
                      <c:pt idx="89">
                        <c:v>125.27283040102608</c:v>
                      </c:pt>
                      <c:pt idx="90">
                        <c:v>125.27283040102608</c:v>
                      </c:pt>
                      <c:pt idx="91">
                        <c:v>125.27283040102608</c:v>
                      </c:pt>
                      <c:pt idx="92">
                        <c:v>125.27283040102608</c:v>
                      </c:pt>
                      <c:pt idx="93">
                        <c:v>125.27283040102608</c:v>
                      </c:pt>
                      <c:pt idx="94">
                        <c:v>125.27283040102608</c:v>
                      </c:pt>
                      <c:pt idx="95">
                        <c:v>125.27283040102608</c:v>
                      </c:pt>
                      <c:pt idx="96">
                        <c:v>125.27283040102608</c:v>
                      </c:pt>
                      <c:pt idx="97">
                        <c:v>125.27283040102608</c:v>
                      </c:pt>
                      <c:pt idx="98">
                        <c:v>125.27283040102608</c:v>
                      </c:pt>
                      <c:pt idx="99">
                        <c:v>125.27283040102608</c:v>
                      </c:pt>
                      <c:pt idx="100">
                        <c:v>125.27283040102608</c:v>
                      </c:pt>
                      <c:pt idx="101">
                        <c:v>125.27283040102608</c:v>
                      </c:pt>
                      <c:pt idx="102">
                        <c:v>125.27283040102608</c:v>
                      </c:pt>
                      <c:pt idx="103">
                        <c:v>125.27283040102608</c:v>
                      </c:pt>
                      <c:pt idx="104">
                        <c:v>125.27283040102608</c:v>
                      </c:pt>
                      <c:pt idx="105">
                        <c:v>125.27283040102608</c:v>
                      </c:pt>
                      <c:pt idx="106">
                        <c:v>125.27283040102608</c:v>
                      </c:pt>
                      <c:pt idx="107">
                        <c:v>125.27283040102608</c:v>
                      </c:pt>
                      <c:pt idx="108">
                        <c:v>125.27283040102608</c:v>
                      </c:pt>
                      <c:pt idx="109">
                        <c:v>125.27283040102608</c:v>
                      </c:pt>
                      <c:pt idx="110">
                        <c:v>125.27283040102608</c:v>
                      </c:pt>
                      <c:pt idx="111">
                        <c:v>125.27283040102608</c:v>
                      </c:pt>
                      <c:pt idx="112">
                        <c:v>125.27283040102608</c:v>
                      </c:pt>
                      <c:pt idx="113">
                        <c:v>125.27283040102608</c:v>
                      </c:pt>
                      <c:pt idx="114">
                        <c:v>125.27283040102608</c:v>
                      </c:pt>
                      <c:pt idx="115">
                        <c:v>125.27283040102608</c:v>
                      </c:pt>
                      <c:pt idx="116">
                        <c:v>125.27283040102608</c:v>
                      </c:pt>
                      <c:pt idx="117">
                        <c:v>125.27283040102608</c:v>
                      </c:pt>
                      <c:pt idx="118">
                        <c:v>125.27283040102608</c:v>
                      </c:pt>
                      <c:pt idx="119">
                        <c:v>125.27283040102608</c:v>
                      </c:pt>
                      <c:pt idx="120">
                        <c:v>125.27283040102608</c:v>
                      </c:pt>
                      <c:pt idx="121">
                        <c:v>125.27283040102608</c:v>
                      </c:pt>
                      <c:pt idx="122">
                        <c:v>125.27283040102608</c:v>
                      </c:pt>
                      <c:pt idx="123">
                        <c:v>125.27283040102608</c:v>
                      </c:pt>
                      <c:pt idx="124">
                        <c:v>125.27283040102608</c:v>
                      </c:pt>
                      <c:pt idx="125">
                        <c:v>125.27283040102608</c:v>
                      </c:pt>
                      <c:pt idx="126">
                        <c:v>125.27283040102608</c:v>
                      </c:pt>
                      <c:pt idx="127">
                        <c:v>125.27283040102608</c:v>
                      </c:pt>
                      <c:pt idx="128">
                        <c:v>125.27283040102608</c:v>
                      </c:pt>
                      <c:pt idx="129">
                        <c:v>125.27283040102608</c:v>
                      </c:pt>
                      <c:pt idx="130">
                        <c:v>125.27283040102608</c:v>
                      </c:pt>
                      <c:pt idx="131">
                        <c:v>125.27283040102608</c:v>
                      </c:pt>
                      <c:pt idx="132">
                        <c:v>125.27283040102608</c:v>
                      </c:pt>
                      <c:pt idx="133">
                        <c:v>125.27283040102608</c:v>
                      </c:pt>
                      <c:pt idx="134">
                        <c:v>125.27283040102608</c:v>
                      </c:pt>
                      <c:pt idx="135">
                        <c:v>125.27283040102608</c:v>
                      </c:pt>
                      <c:pt idx="136">
                        <c:v>125.27283040102608</c:v>
                      </c:pt>
                      <c:pt idx="137">
                        <c:v>125.27283040102608</c:v>
                      </c:pt>
                      <c:pt idx="138">
                        <c:v>125.27283040102608</c:v>
                      </c:pt>
                      <c:pt idx="139">
                        <c:v>125.27283040102608</c:v>
                      </c:pt>
                      <c:pt idx="140">
                        <c:v>125.27283040102608</c:v>
                      </c:pt>
                      <c:pt idx="141">
                        <c:v>125.27283040102608</c:v>
                      </c:pt>
                      <c:pt idx="142">
                        <c:v>125.27283040102608</c:v>
                      </c:pt>
                      <c:pt idx="143">
                        <c:v>125.27283040102608</c:v>
                      </c:pt>
                      <c:pt idx="144">
                        <c:v>125.27283040102608</c:v>
                      </c:pt>
                      <c:pt idx="145">
                        <c:v>125.27283040102608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D390-4827-A486-80162B8E867D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datalog_FINAL_1777319982!$M$1</c15:sqref>
                        </c15:formulaRef>
                      </c:ext>
                    </c:extLst>
                    <c:strCache>
                      <c:ptCount val="1"/>
                      <c:pt idx="0">
                        <c:v>RUIDO INF/PC</c:v>
                      </c:pt>
                    </c:strCache>
                  </c:strRef>
                </c:tx>
                <c:spPr>
                  <a:noFill/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datalog_FINAL_1777319982!$A$90:$A$346</c15:sqref>
                        </c15:formulaRef>
                      </c:ext>
                    </c:extLst>
                    <c:numCache>
                      <c:formatCode>General</c:formatCode>
                      <c:ptCount val="146"/>
                      <c:pt idx="0">
                        <c:v>21.74</c:v>
                      </c:pt>
                      <c:pt idx="1">
                        <c:v>21.99</c:v>
                      </c:pt>
                      <c:pt idx="2">
                        <c:v>22.25</c:v>
                      </c:pt>
                      <c:pt idx="3">
                        <c:v>22.5</c:v>
                      </c:pt>
                      <c:pt idx="4">
                        <c:v>22.75</c:v>
                      </c:pt>
                      <c:pt idx="5">
                        <c:v>23</c:v>
                      </c:pt>
                      <c:pt idx="6">
                        <c:v>23.25</c:v>
                      </c:pt>
                      <c:pt idx="7">
                        <c:v>23.5</c:v>
                      </c:pt>
                      <c:pt idx="8">
                        <c:v>23.76</c:v>
                      </c:pt>
                      <c:pt idx="9">
                        <c:v>24.01</c:v>
                      </c:pt>
                      <c:pt idx="10">
                        <c:v>24.26</c:v>
                      </c:pt>
                      <c:pt idx="11">
                        <c:v>24.52</c:v>
                      </c:pt>
                      <c:pt idx="12">
                        <c:v>24.77</c:v>
                      </c:pt>
                      <c:pt idx="13">
                        <c:v>25.02</c:v>
                      </c:pt>
                      <c:pt idx="14">
                        <c:v>25.27</c:v>
                      </c:pt>
                      <c:pt idx="15">
                        <c:v>25.53</c:v>
                      </c:pt>
                      <c:pt idx="16">
                        <c:v>25.78</c:v>
                      </c:pt>
                      <c:pt idx="17">
                        <c:v>26.03</c:v>
                      </c:pt>
                      <c:pt idx="18">
                        <c:v>26.28</c:v>
                      </c:pt>
                      <c:pt idx="19">
                        <c:v>26.55</c:v>
                      </c:pt>
                      <c:pt idx="20">
                        <c:v>26.79</c:v>
                      </c:pt>
                      <c:pt idx="21">
                        <c:v>27.04</c:v>
                      </c:pt>
                      <c:pt idx="22">
                        <c:v>27.29</c:v>
                      </c:pt>
                      <c:pt idx="23">
                        <c:v>27.55</c:v>
                      </c:pt>
                      <c:pt idx="24">
                        <c:v>27.8</c:v>
                      </c:pt>
                      <c:pt idx="25">
                        <c:v>28.06</c:v>
                      </c:pt>
                      <c:pt idx="26">
                        <c:v>28.31</c:v>
                      </c:pt>
                      <c:pt idx="27">
                        <c:v>28.56</c:v>
                      </c:pt>
                      <c:pt idx="28">
                        <c:v>28.82</c:v>
                      </c:pt>
                      <c:pt idx="29">
                        <c:v>29.07</c:v>
                      </c:pt>
                      <c:pt idx="30">
                        <c:v>29.32</c:v>
                      </c:pt>
                      <c:pt idx="31">
                        <c:v>29.57</c:v>
                      </c:pt>
                      <c:pt idx="32">
                        <c:v>29.83</c:v>
                      </c:pt>
                      <c:pt idx="33">
                        <c:v>30.08</c:v>
                      </c:pt>
                      <c:pt idx="34">
                        <c:v>30.33</c:v>
                      </c:pt>
                      <c:pt idx="35">
                        <c:v>30.58</c:v>
                      </c:pt>
                      <c:pt idx="36">
                        <c:v>30.84</c:v>
                      </c:pt>
                      <c:pt idx="37">
                        <c:v>31.09</c:v>
                      </c:pt>
                      <c:pt idx="38">
                        <c:v>31.34</c:v>
                      </c:pt>
                      <c:pt idx="39">
                        <c:v>31.6</c:v>
                      </c:pt>
                      <c:pt idx="40">
                        <c:v>31.85</c:v>
                      </c:pt>
                      <c:pt idx="41">
                        <c:v>32.1</c:v>
                      </c:pt>
                      <c:pt idx="42">
                        <c:v>32.35</c:v>
                      </c:pt>
                      <c:pt idx="43">
                        <c:v>32.61</c:v>
                      </c:pt>
                      <c:pt idx="44">
                        <c:v>32.86</c:v>
                      </c:pt>
                      <c:pt idx="45">
                        <c:v>33.11</c:v>
                      </c:pt>
                      <c:pt idx="46">
                        <c:v>33.36</c:v>
                      </c:pt>
                      <c:pt idx="47">
                        <c:v>33.61</c:v>
                      </c:pt>
                      <c:pt idx="48">
                        <c:v>33.869999999999997</c:v>
                      </c:pt>
                      <c:pt idx="49">
                        <c:v>34.119999999999997</c:v>
                      </c:pt>
                      <c:pt idx="50">
                        <c:v>34.369999999999997</c:v>
                      </c:pt>
                      <c:pt idx="51">
                        <c:v>34.619999999999997</c:v>
                      </c:pt>
                      <c:pt idx="52">
                        <c:v>34.880000000000003</c:v>
                      </c:pt>
                      <c:pt idx="53">
                        <c:v>35.130000000000003</c:v>
                      </c:pt>
                      <c:pt idx="54">
                        <c:v>35.380000000000003</c:v>
                      </c:pt>
                      <c:pt idx="55">
                        <c:v>35.64</c:v>
                      </c:pt>
                      <c:pt idx="56">
                        <c:v>35.89</c:v>
                      </c:pt>
                      <c:pt idx="57">
                        <c:v>36.14</c:v>
                      </c:pt>
                      <c:pt idx="58">
                        <c:v>36.39</c:v>
                      </c:pt>
                      <c:pt idx="59">
                        <c:v>36.64</c:v>
                      </c:pt>
                      <c:pt idx="60">
                        <c:v>36.89</c:v>
                      </c:pt>
                      <c:pt idx="61">
                        <c:v>37.15</c:v>
                      </c:pt>
                      <c:pt idx="62">
                        <c:v>37.4</c:v>
                      </c:pt>
                      <c:pt idx="63">
                        <c:v>37.65</c:v>
                      </c:pt>
                      <c:pt idx="64">
                        <c:v>37.9</c:v>
                      </c:pt>
                      <c:pt idx="65">
                        <c:v>38.159999999999997</c:v>
                      </c:pt>
                      <c:pt idx="66">
                        <c:v>38.42</c:v>
                      </c:pt>
                      <c:pt idx="67">
                        <c:v>38.659999999999997</c:v>
                      </c:pt>
                      <c:pt idx="68">
                        <c:v>38.909999999999997</c:v>
                      </c:pt>
                      <c:pt idx="69">
                        <c:v>39.159999999999997</c:v>
                      </c:pt>
                      <c:pt idx="70">
                        <c:v>39.42</c:v>
                      </c:pt>
                      <c:pt idx="71">
                        <c:v>39.67</c:v>
                      </c:pt>
                      <c:pt idx="72">
                        <c:v>39.92</c:v>
                      </c:pt>
                      <c:pt idx="73">
                        <c:v>40.17</c:v>
                      </c:pt>
                      <c:pt idx="74">
                        <c:v>40.42</c:v>
                      </c:pt>
                      <c:pt idx="75">
                        <c:v>40.68</c:v>
                      </c:pt>
                      <c:pt idx="76">
                        <c:v>40.93</c:v>
                      </c:pt>
                      <c:pt idx="77">
                        <c:v>41.18</c:v>
                      </c:pt>
                      <c:pt idx="78">
                        <c:v>41.44</c:v>
                      </c:pt>
                      <c:pt idx="79">
                        <c:v>41.69</c:v>
                      </c:pt>
                      <c:pt idx="80">
                        <c:v>41.94</c:v>
                      </c:pt>
                      <c:pt idx="81">
                        <c:v>42.19</c:v>
                      </c:pt>
                      <c:pt idx="82">
                        <c:v>42.45</c:v>
                      </c:pt>
                      <c:pt idx="83">
                        <c:v>42.7</c:v>
                      </c:pt>
                      <c:pt idx="84">
                        <c:v>42.96</c:v>
                      </c:pt>
                      <c:pt idx="85">
                        <c:v>43.2</c:v>
                      </c:pt>
                      <c:pt idx="86">
                        <c:v>43.45</c:v>
                      </c:pt>
                      <c:pt idx="87">
                        <c:v>43.71</c:v>
                      </c:pt>
                      <c:pt idx="88">
                        <c:v>43.96</c:v>
                      </c:pt>
                      <c:pt idx="89">
                        <c:v>44.21</c:v>
                      </c:pt>
                      <c:pt idx="90">
                        <c:v>44.47</c:v>
                      </c:pt>
                      <c:pt idx="91">
                        <c:v>44.71</c:v>
                      </c:pt>
                      <c:pt idx="92">
                        <c:v>44.96</c:v>
                      </c:pt>
                      <c:pt idx="93">
                        <c:v>45.22</c:v>
                      </c:pt>
                      <c:pt idx="94">
                        <c:v>45.47</c:v>
                      </c:pt>
                      <c:pt idx="95">
                        <c:v>45.72</c:v>
                      </c:pt>
                      <c:pt idx="96">
                        <c:v>45.97</c:v>
                      </c:pt>
                      <c:pt idx="97">
                        <c:v>46.23</c:v>
                      </c:pt>
                      <c:pt idx="98">
                        <c:v>46.48</c:v>
                      </c:pt>
                      <c:pt idx="99">
                        <c:v>46.73</c:v>
                      </c:pt>
                      <c:pt idx="100">
                        <c:v>46.98</c:v>
                      </c:pt>
                      <c:pt idx="101">
                        <c:v>47.23</c:v>
                      </c:pt>
                      <c:pt idx="102">
                        <c:v>47.49</c:v>
                      </c:pt>
                      <c:pt idx="103">
                        <c:v>47.74</c:v>
                      </c:pt>
                      <c:pt idx="104">
                        <c:v>47.99</c:v>
                      </c:pt>
                      <c:pt idx="105">
                        <c:v>48.24</c:v>
                      </c:pt>
                      <c:pt idx="106">
                        <c:v>48.49</c:v>
                      </c:pt>
                      <c:pt idx="107">
                        <c:v>48.75</c:v>
                      </c:pt>
                      <c:pt idx="108">
                        <c:v>49</c:v>
                      </c:pt>
                      <c:pt idx="109">
                        <c:v>49.25</c:v>
                      </c:pt>
                      <c:pt idx="110">
                        <c:v>49.51</c:v>
                      </c:pt>
                      <c:pt idx="111">
                        <c:v>49.76</c:v>
                      </c:pt>
                      <c:pt idx="112">
                        <c:v>50.01</c:v>
                      </c:pt>
                      <c:pt idx="113">
                        <c:v>50.26</c:v>
                      </c:pt>
                      <c:pt idx="114">
                        <c:v>50.52</c:v>
                      </c:pt>
                      <c:pt idx="115">
                        <c:v>50.77</c:v>
                      </c:pt>
                      <c:pt idx="116">
                        <c:v>51.02</c:v>
                      </c:pt>
                      <c:pt idx="117">
                        <c:v>51.27</c:v>
                      </c:pt>
                      <c:pt idx="118">
                        <c:v>51.53</c:v>
                      </c:pt>
                      <c:pt idx="119">
                        <c:v>51.8</c:v>
                      </c:pt>
                      <c:pt idx="120">
                        <c:v>52.04</c:v>
                      </c:pt>
                      <c:pt idx="121">
                        <c:v>52.29</c:v>
                      </c:pt>
                      <c:pt idx="122">
                        <c:v>52.54</c:v>
                      </c:pt>
                      <c:pt idx="123">
                        <c:v>52.79</c:v>
                      </c:pt>
                      <c:pt idx="124">
                        <c:v>53.04</c:v>
                      </c:pt>
                      <c:pt idx="125">
                        <c:v>53.3</c:v>
                      </c:pt>
                      <c:pt idx="126">
                        <c:v>53.55</c:v>
                      </c:pt>
                      <c:pt idx="127">
                        <c:v>53.8</c:v>
                      </c:pt>
                      <c:pt idx="128">
                        <c:v>54.06</c:v>
                      </c:pt>
                      <c:pt idx="129">
                        <c:v>54.31</c:v>
                      </c:pt>
                      <c:pt idx="130">
                        <c:v>54.56</c:v>
                      </c:pt>
                      <c:pt idx="131">
                        <c:v>54.82</c:v>
                      </c:pt>
                      <c:pt idx="132">
                        <c:v>55.07</c:v>
                      </c:pt>
                      <c:pt idx="133">
                        <c:v>55.32</c:v>
                      </c:pt>
                      <c:pt idx="134">
                        <c:v>55.57</c:v>
                      </c:pt>
                      <c:pt idx="135">
                        <c:v>55.82</c:v>
                      </c:pt>
                      <c:pt idx="136">
                        <c:v>56.09</c:v>
                      </c:pt>
                      <c:pt idx="137">
                        <c:v>56.33</c:v>
                      </c:pt>
                      <c:pt idx="138">
                        <c:v>56.58</c:v>
                      </c:pt>
                      <c:pt idx="139">
                        <c:v>56.83</c:v>
                      </c:pt>
                      <c:pt idx="140">
                        <c:v>57.08</c:v>
                      </c:pt>
                      <c:pt idx="141">
                        <c:v>57.34</c:v>
                      </c:pt>
                      <c:pt idx="142">
                        <c:v>57.59</c:v>
                      </c:pt>
                      <c:pt idx="143">
                        <c:v>57.84</c:v>
                      </c:pt>
                      <c:pt idx="144">
                        <c:v>58.09</c:v>
                      </c:pt>
                      <c:pt idx="145">
                        <c:v>58.34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datalog_FINAL_1777319982!$M$90:$M$347</c15:sqref>
                        </c15:formulaRef>
                      </c:ext>
                    </c:extLst>
                    <c:numCache>
                      <c:formatCode>General</c:formatCode>
                      <c:ptCount val="146"/>
                      <c:pt idx="0">
                        <c:v>101.69648466746713</c:v>
                      </c:pt>
                      <c:pt idx="1">
                        <c:v>101.69648466746713</c:v>
                      </c:pt>
                      <c:pt idx="2">
                        <c:v>101.69648466746713</c:v>
                      </c:pt>
                      <c:pt idx="3">
                        <c:v>101.69648466746713</c:v>
                      </c:pt>
                      <c:pt idx="4">
                        <c:v>101.69648466746713</c:v>
                      </c:pt>
                      <c:pt idx="5">
                        <c:v>101.69648466746713</c:v>
                      </c:pt>
                      <c:pt idx="6">
                        <c:v>101.69648466746713</c:v>
                      </c:pt>
                      <c:pt idx="7">
                        <c:v>101.69648466746713</c:v>
                      </c:pt>
                      <c:pt idx="8">
                        <c:v>101.69648466746713</c:v>
                      </c:pt>
                      <c:pt idx="9">
                        <c:v>101.69648466746713</c:v>
                      </c:pt>
                      <c:pt idx="10">
                        <c:v>101.69648466746713</c:v>
                      </c:pt>
                      <c:pt idx="11">
                        <c:v>101.69648466746713</c:v>
                      </c:pt>
                      <c:pt idx="12">
                        <c:v>101.69648466746713</c:v>
                      </c:pt>
                      <c:pt idx="13">
                        <c:v>101.69648466746713</c:v>
                      </c:pt>
                      <c:pt idx="14">
                        <c:v>101.69648466746713</c:v>
                      </c:pt>
                      <c:pt idx="15">
                        <c:v>101.69648466746713</c:v>
                      </c:pt>
                      <c:pt idx="16">
                        <c:v>101.69648466746713</c:v>
                      </c:pt>
                      <c:pt idx="17">
                        <c:v>101.69648466746713</c:v>
                      </c:pt>
                      <c:pt idx="18">
                        <c:v>101.69648466746713</c:v>
                      </c:pt>
                      <c:pt idx="19">
                        <c:v>101.69648466746713</c:v>
                      </c:pt>
                      <c:pt idx="20">
                        <c:v>101.69648466746713</c:v>
                      </c:pt>
                      <c:pt idx="21">
                        <c:v>101.69648466746713</c:v>
                      </c:pt>
                      <c:pt idx="22">
                        <c:v>101.69648466746713</c:v>
                      </c:pt>
                      <c:pt idx="23">
                        <c:v>101.69648466746713</c:v>
                      </c:pt>
                      <c:pt idx="24">
                        <c:v>101.69648466746713</c:v>
                      </c:pt>
                      <c:pt idx="25">
                        <c:v>101.69648466746713</c:v>
                      </c:pt>
                      <c:pt idx="26">
                        <c:v>101.69648466746713</c:v>
                      </c:pt>
                      <c:pt idx="27">
                        <c:v>101.69648466746713</c:v>
                      </c:pt>
                      <c:pt idx="28">
                        <c:v>101.69648466746713</c:v>
                      </c:pt>
                      <c:pt idx="29">
                        <c:v>101.69648466746713</c:v>
                      </c:pt>
                      <c:pt idx="30">
                        <c:v>101.69648466746713</c:v>
                      </c:pt>
                      <c:pt idx="31">
                        <c:v>101.69648466746713</c:v>
                      </c:pt>
                      <c:pt idx="32">
                        <c:v>101.69648466746713</c:v>
                      </c:pt>
                      <c:pt idx="33">
                        <c:v>101.69648466746713</c:v>
                      </c:pt>
                      <c:pt idx="34">
                        <c:v>101.69648466746713</c:v>
                      </c:pt>
                      <c:pt idx="35">
                        <c:v>101.69648466746713</c:v>
                      </c:pt>
                      <c:pt idx="36">
                        <c:v>101.69648466746713</c:v>
                      </c:pt>
                      <c:pt idx="37">
                        <c:v>101.69648466746713</c:v>
                      </c:pt>
                      <c:pt idx="38">
                        <c:v>101.69648466746713</c:v>
                      </c:pt>
                      <c:pt idx="39">
                        <c:v>101.69648466746713</c:v>
                      </c:pt>
                      <c:pt idx="40">
                        <c:v>101.69648466746713</c:v>
                      </c:pt>
                      <c:pt idx="41">
                        <c:v>101.69648466746713</c:v>
                      </c:pt>
                      <c:pt idx="42">
                        <c:v>101.69648466746713</c:v>
                      </c:pt>
                      <c:pt idx="43">
                        <c:v>101.69648466746713</c:v>
                      </c:pt>
                      <c:pt idx="44">
                        <c:v>101.69648466746713</c:v>
                      </c:pt>
                      <c:pt idx="45">
                        <c:v>101.69648466746713</c:v>
                      </c:pt>
                      <c:pt idx="46">
                        <c:v>101.69648466746713</c:v>
                      </c:pt>
                      <c:pt idx="47">
                        <c:v>101.69648466746713</c:v>
                      </c:pt>
                      <c:pt idx="48">
                        <c:v>101.69648466746713</c:v>
                      </c:pt>
                      <c:pt idx="49">
                        <c:v>101.69648466746713</c:v>
                      </c:pt>
                      <c:pt idx="50">
                        <c:v>101.69648466746713</c:v>
                      </c:pt>
                      <c:pt idx="51">
                        <c:v>101.69648466746713</c:v>
                      </c:pt>
                      <c:pt idx="52">
                        <c:v>101.69648466746713</c:v>
                      </c:pt>
                      <c:pt idx="53">
                        <c:v>101.69648466746713</c:v>
                      </c:pt>
                      <c:pt idx="54">
                        <c:v>101.69648466746713</c:v>
                      </c:pt>
                      <c:pt idx="55">
                        <c:v>101.69648466746713</c:v>
                      </c:pt>
                      <c:pt idx="56">
                        <c:v>101.69648466746713</c:v>
                      </c:pt>
                      <c:pt idx="57">
                        <c:v>101.69648466746713</c:v>
                      </c:pt>
                      <c:pt idx="58">
                        <c:v>101.69648466746713</c:v>
                      </c:pt>
                      <c:pt idx="59">
                        <c:v>101.69648466746713</c:v>
                      </c:pt>
                      <c:pt idx="60">
                        <c:v>101.69648466746713</c:v>
                      </c:pt>
                      <c:pt idx="61">
                        <c:v>101.69648466746713</c:v>
                      </c:pt>
                      <c:pt idx="62">
                        <c:v>101.69648466746713</c:v>
                      </c:pt>
                      <c:pt idx="63">
                        <c:v>101.69648466746713</c:v>
                      </c:pt>
                      <c:pt idx="64">
                        <c:v>101.69648466746713</c:v>
                      </c:pt>
                      <c:pt idx="65">
                        <c:v>101.69648466746713</c:v>
                      </c:pt>
                      <c:pt idx="66">
                        <c:v>101.69648466746713</c:v>
                      </c:pt>
                      <c:pt idx="67">
                        <c:v>101.69648466746713</c:v>
                      </c:pt>
                      <c:pt idx="68">
                        <c:v>101.69648466746713</c:v>
                      </c:pt>
                      <c:pt idx="69">
                        <c:v>101.69648466746713</c:v>
                      </c:pt>
                      <c:pt idx="70">
                        <c:v>101.69648466746713</c:v>
                      </c:pt>
                      <c:pt idx="71">
                        <c:v>101.69648466746713</c:v>
                      </c:pt>
                      <c:pt idx="72">
                        <c:v>101.69648466746713</c:v>
                      </c:pt>
                      <c:pt idx="73">
                        <c:v>101.69648466746713</c:v>
                      </c:pt>
                      <c:pt idx="74">
                        <c:v>101.69648466746713</c:v>
                      </c:pt>
                      <c:pt idx="75">
                        <c:v>101.69648466746713</c:v>
                      </c:pt>
                      <c:pt idx="76">
                        <c:v>101.69648466746713</c:v>
                      </c:pt>
                      <c:pt idx="77">
                        <c:v>101.69648466746713</c:v>
                      </c:pt>
                      <c:pt idx="78">
                        <c:v>101.69648466746713</c:v>
                      </c:pt>
                      <c:pt idx="79">
                        <c:v>101.69648466746713</c:v>
                      </c:pt>
                      <c:pt idx="80">
                        <c:v>101.69648466746713</c:v>
                      </c:pt>
                      <c:pt idx="81">
                        <c:v>101.69648466746713</c:v>
                      </c:pt>
                      <c:pt idx="82">
                        <c:v>101.69648466746713</c:v>
                      </c:pt>
                      <c:pt idx="83">
                        <c:v>101.69648466746713</c:v>
                      </c:pt>
                      <c:pt idx="84">
                        <c:v>101.69648466746713</c:v>
                      </c:pt>
                      <c:pt idx="85">
                        <c:v>101.69648466746713</c:v>
                      </c:pt>
                      <c:pt idx="86">
                        <c:v>101.69648466746713</c:v>
                      </c:pt>
                      <c:pt idx="87">
                        <c:v>101.69648466746713</c:v>
                      </c:pt>
                      <c:pt idx="88">
                        <c:v>101.69648466746713</c:v>
                      </c:pt>
                      <c:pt idx="89">
                        <c:v>101.69648466746713</c:v>
                      </c:pt>
                      <c:pt idx="90">
                        <c:v>101.69648466746713</c:v>
                      </c:pt>
                      <c:pt idx="91">
                        <c:v>101.69648466746713</c:v>
                      </c:pt>
                      <c:pt idx="92">
                        <c:v>101.69648466746713</c:v>
                      </c:pt>
                      <c:pt idx="93">
                        <c:v>101.69648466746713</c:v>
                      </c:pt>
                      <c:pt idx="94">
                        <c:v>101.69648466746713</c:v>
                      </c:pt>
                      <c:pt idx="95">
                        <c:v>101.69648466746713</c:v>
                      </c:pt>
                      <c:pt idx="96">
                        <c:v>101.69648466746713</c:v>
                      </c:pt>
                      <c:pt idx="97">
                        <c:v>101.69648466746713</c:v>
                      </c:pt>
                      <c:pt idx="98">
                        <c:v>101.69648466746713</c:v>
                      </c:pt>
                      <c:pt idx="99">
                        <c:v>101.69648466746713</c:v>
                      </c:pt>
                      <c:pt idx="100">
                        <c:v>101.69648466746713</c:v>
                      </c:pt>
                      <c:pt idx="101">
                        <c:v>101.69648466746713</c:v>
                      </c:pt>
                      <c:pt idx="102">
                        <c:v>101.69648466746713</c:v>
                      </c:pt>
                      <c:pt idx="103">
                        <c:v>101.69648466746713</c:v>
                      </c:pt>
                      <c:pt idx="104">
                        <c:v>101.69648466746713</c:v>
                      </c:pt>
                      <c:pt idx="105">
                        <c:v>101.69648466746713</c:v>
                      </c:pt>
                      <c:pt idx="106">
                        <c:v>101.69648466746713</c:v>
                      </c:pt>
                      <c:pt idx="107">
                        <c:v>101.69648466746713</c:v>
                      </c:pt>
                      <c:pt idx="108">
                        <c:v>101.69648466746713</c:v>
                      </c:pt>
                      <c:pt idx="109">
                        <c:v>101.69648466746713</c:v>
                      </c:pt>
                      <c:pt idx="110">
                        <c:v>101.69648466746713</c:v>
                      </c:pt>
                      <c:pt idx="111">
                        <c:v>101.69648466746713</c:v>
                      </c:pt>
                      <c:pt idx="112">
                        <c:v>101.69648466746713</c:v>
                      </c:pt>
                      <c:pt idx="113">
                        <c:v>101.69648466746713</c:v>
                      </c:pt>
                      <c:pt idx="114">
                        <c:v>101.69648466746713</c:v>
                      </c:pt>
                      <c:pt idx="115">
                        <c:v>101.69648466746713</c:v>
                      </c:pt>
                      <c:pt idx="116">
                        <c:v>101.69648466746713</c:v>
                      </c:pt>
                      <c:pt idx="117">
                        <c:v>101.69648466746713</c:v>
                      </c:pt>
                      <c:pt idx="118">
                        <c:v>101.69648466746713</c:v>
                      </c:pt>
                      <c:pt idx="119">
                        <c:v>101.69648466746713</c:v>
                      </c:pt>
                      <c:pt idx="120">
                        <c:v>101.69648466746713</c:v>
                      </c:pt>
                      <c:pt idx="121">
                        <c:v>101.69648466746713</c:v>
                      </c:pt>
                      <c:pt idx="122">
                        <c:v>101.69648466746713</c:v>
                      </c:pt>
                      <c:pt idx="123">
                        <c:v>101.69648466746713</c:v>
                      </c:pt>
                      <c:pt idx="124">
                        <c:v>101.69648466746713</c:v>
                      </c:pt>
                      <c:pt idx="125">
                        <c:v>101.69648466746713</c:v>
                      </c:pt>
                      <c:pt idx="126">
                        <c:v>101.69648466746713</c:v>
                      </c:pt>
                      <c:pt idx="127">
                        <c:v>101.69648466746713</c:v>
                      </c:pt>
                      <c:pt idx="128">
                        <c:v>101.69648466746713</c:v>
                      </c:pt>
                      <c:pt idx="129">
                        <c:v>101.69648466746713</c:v>
                      </c:pt>
                      <c:pt idx="130">
                        <c:v>101.69648466746713</c:v>
                      </c:pt>
                      <c:pt idx="131">
                        <c:v>101.69648466746713</c:v>
                      </c:pt>
                      <c:pt idx="132">
                        <c:v>101.69648466746713</c:v>
                      </c:pt>
                      <c:pt idx="133">
                        <c:v>101.69648466746713</c:v>
                      </c:pt>
                      <c:pt idx="134">
                        <c:v>101.69648466746713</c:v>
                      </c:pt>
                      <c:pt idx="135">
                        <c:v>101.69648466746713</c:v>
                      </c:pt>
                      <c:pt idx="136">
                        <c:v>101.69648466746713</c:v>
                      </c:pt>
                      <c:pt idx="137">
                        <c:v>101.69648466746713</c:v>
                      </c:pt>
                      <c:pt idx="138">
                        <c:v>101.69648466746713</c:v>
                      </c:pt>
                      <c:pt idx="139">
                        <c:v>101.69648466746713</c:v>
                      </c:pt>
                      <c:pt idx="140">
                        <c:v>101.69648466746713</c:v>
                      </c:pt>
                      <c:pt idx="141">
                        <c:v>101.69648466746713</c:v>
                      </c:pt>
                      <c:pt idx="142">
                        <c:v>101.69648466746713</c:v>
                      </c:pt>
                      <c:pt idx="143">
                        <c:v>101.69648466746713</c:v>
                      </c:pt>
                      <c:pt idx="144">
                        <c:v>101.69648466746713</c:v>
                      </c:pt>
                      <c:pt idx="145">
                        <c:v>101.69648466746713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390-4827-A486-80162B8E867D}"/>
                  </c:ext>
                </c:extLst>
              </c15:ser>
            </c15:filteredAreaSeries>
            <c15:filteredAreaSeries>
              <c15:ser>
                <c:idx val="7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datalog_FINAL_1777319982!$N$1</c15:sqref>
                        </c15:formulaRef>
                      </c:ext>
                    </c:extLst>
                    <c:strCache>
                      <c:ptCount val="1"/>
                      <c:pt idx="0">
                        <c:v>BANDARUIDO/PC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  <a:alpha val="20000"/>
                    </a:schemeClr>
                  </a:solidFill>
                  <a:ln>
                    <a:solidFill>
                      <a:schemeClr val="accent1">
                        <a:lumMod val="20000"/>
                        <a:lumOff val="80000"/>
                        <a:alpha val="20000"/>
                      </a:schemeClr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datalog_FINAL_1777319982!$N$90:$N$235</c15:sqref>
                        </c15:formulaRef>
                      </c:ext>
                    </c:extLst>
                    <c:numCache>
                      <c:formatCode>General</c:formatCode>
                      <c:ptCount val="146"/>
                      <c:pt idx="0">
                        <c:v>23.576345733558952</c:v>
                      </c:pt>
                      <c:pt idx="1">
                        <c:v>23.576345733558952</c:v>
                      </c:pt>
                      <c:pt idx="2">
                        <c:v>23.576345733558952</c:v>
                      </c:pt>
                      <c:pt idx="3">
                        <c:v>23.576345733558952</c:v>
                      </c:pt>
                      <c:pt idx="4">
                        <c:v>23.576345733558952</c:v>
                      </c:pt>
                      <c:pt idx="5">
                        <c:v>23.576345733558952</c:v>
                      </c:pt>
                      <c:pt idx="6">
                        <c:v>23.576345733558952</c:v>
                      </c:pt>
                      <c:pt idx="7">
                        <c:v>23.576345733558952</c:v>
                      </c:pt>
                      <c:pt idx="8">
                        <c:v>23.576345733558952</c:v>
                      </c:pt>
                      <c:pt idx="9">
                        <c:v>23.576345733558952</c:v>
                      </c:pt>
                      <c:pt idx="10">
                        <c:v>23.576345733558952</c:v>
                      </c:pt>
                      <c:pt idx="11">
                        <c:v>23.576345733558952</c:v>
                      </c:pt>
                      <c:pt idx="12">
                        <c:v>23.576345733558952</c:v>
                      </c:pt>
                      <c:pt idx="13">
                        <c:v>23.576345733558952</c:v>
                      </c:pt>
                      <c:pt idx="14">
                        <c:v>23.576345733558952</c:v>
                      </c:pt>
                      <c:pt idx="15">
                        <c:v>23.576345733558952</c:v>
                      </c:pt>
                      <c:pt idx="16">
                        <c:v>23.576345733558952</c:v>
                      </c:pt>
                      <c:pt idx="17">
                        <c:v>23.576345733558952</c:v>
                      </c:pt>
                      <c:pt idx="18">
                        <c:v>23.576345733558952</c:v>
                      </c:pt>
                      <c:pt idx="19">
                        <c:v>23.576345733558952</c:v>
                      </c:pt>
                      <c:pt idx="20">
                        <c:v>23.576345733558952</c:v>
                      </c:pt>
                      <c:pt idx="21">
                        <c:v>23.576345733558952</c:v>
                      </c:pt>
                      <c:pt idx="22">
                        <c:v>23.576345733558952</c:v>
                      </c:pt>
                      <c:pt idx="23">
                        <c:v>23.576345733558952</c:v>
                      </c:pt>
                      <c:pt idx="24">
                        <c:v>23.576345733558952</c:v>
                      </c:pt>
                      <c:pt idx="25">
                        <c:v>23.576345733558952</c:v>
                      </c:pt>
                      <c:pt idx="26">
                        <c:v>23.576345733558952</c:v>
                      </c:pt>
                      <c:pt idx="27">
                        <c:v>23.576345733558952</c:v>
                      </c:pt>
                      <c:pt idx="28">
                        <c:v>23.576345733558952</c:v>
                      </c:pt>
                      <c:pt idx="29">
                        <c:v>23.576345733558952</c:v>
                      </c:pt>
                      <c:pt idx="30">
                        <c:v>23.576345733558952</c:v>
                      </c:pt>
                      <c:pt idx="31">
                        <c:v>23.576345733558952</c:v>
                      </c:pt>
                      <c:pt idx="32">
                        <c:v>23.576345733558952</c:v>
                      </c:pt>
                      <c:pt idx="33">
                        <c:v>23.576345733558952</c:v>
                      </c:pt>
                      <c:pt idx="34">
                        <c:v>23.576345733558952</c:v>
                      </c:pt>
                      <c:pt idx="35">
                        <c:v>23.576345733558952</c:v>
                      </c:pt>
                      <c:pt idx="36">
                        <c:v>23.576345733558952</c:v>
                      </c:pt>
                      <c:pt idx="37">
                        <c:v>23.576345733558952</c:v>
                      </c:pt>
                      <c:pt idx="38">
                        <c:v>23.576345733558952</c:v>
                      </c:pt>
                      <c:pt idx="39">
                        <c:v>23.576345733558952</c:v>
                      </c:pt>
                      <c:pt idx="40">
                        <c:v>23.576345733558952</c:v>
                      </c:pt>
                      <c:pt idx="41">
                        <c:v>23.576345733558952</c:v>
                      </c:pt>
                      <c:pt idx="42">
                        <c:v>23.576345733558952</c:v>
                      </c:pt>
                      <c:pt idx="43">
                        <c:v>23.576345733558952</c:v>
                      </c:pt>
                      <c:pt idx="44">
                        <c:v>23.576345733558952</c:v>
                      </c:pt>
                      <c:pt idx="45">
                        <c:v>23.576345733558952</c:v>
                      </c:pt>
                      <c:pt idx="46">
                        <c:v>23.576345733558952</c:v>
                      </c:pt>
                      <c:pt idx="47">
                        <c:v>23.576345733558952</c:v>
                      </c:pt>
                      <c:pt idx="48">
                        <c:v>23.576345733558952</c:v>
                      </c:pt>
                      <c:pt idx="49">
                        <c:v>23.576345733558952</c:v>
                      </c:pt>
                      <c:pt idx="50">
                        <c:v>23.576345733558952</c:v>
                      </c:pt>
                      <c:pt idx="51">
                        <c:v>23.576345733558952</c:v>
                      </c:pt>
                      <c:pt idx="52">
                        <c:v>23.576345733558952</c:v>
                      </c:pt>
                      <c:pt idx="53">
                        <c:v>23.576345733558952</c:v>
                      </c:pt>
                      <c:pt idx="54">
                        <c:v>23.576345733558952</c:v>
                      </c:pt>
                      <c:pt idx="55">
                        <c:v>23.576345733558952</c:v>
                      </c:pt>
                      <c:pt idx="56">
                        <c:v>23.576345733558952</c:v>
                      </c:pt>
                      <c:pt idx="57">
                        <c:v>23.576345733558952</c:v>
                      </c:pt>
                      <c:pt idx="58">
                        <c:v>23.576345733558952</c:v>
                      </c:pt>
                      <c:pt idx="59">
                        <c:v>23.576345733558952</c:v>
                      </c:pt>
                      <c:pt idx="60">
                        <c:v>23.576345733558952</c:v>
                      </c:pt>
                      <c:pt idx="61">
                        <c:v>23.576345733558952</c:v>
                      </c:pt>
                      <c:pt idx="62">
                        <c:v>23.576345733558952</c:v>
                      </c:pt>
                      <c:pt idx="63">
                        <c:v>23.576345733558952</c:v>
                      </c:pt>
                      <c:pt idx="64">
                        <c:v>23.576345733558952</c:v>
                      </c:pt>
                      <c:pt idx="65">
                        <c:v>23.576345733558952</c:v>
                      </c:pt>
                      <c:pt idx="66">
                        <c:v>23.576345733558952</c:v>
                      </c:pt>
                      <c:pt idx="67">
                        <c:v>23.576345733558952</c:v>
                      </c:pt>
                      <c:pt idx="68">
                        <c:v>23.576345733558952</c:v>
                      </c:pt>
                      <c:pt idx="69">
                        <c:v>23.576345733558952</c:v>
                      </c:pt>
                      <c:pt idx="70">
                        <c:v>23.576345733558952</c:v>
                      </c:pt>
                      <c:pt idx="71">
                        <c:v>23.576345733558952</c:v>
                      </c:pt>
                      <c:pt idx="72">
                        <c:v>23.576345733558952</c:v>
                      </c:pt>
                      <c:pt idx="73">
                        <c:v>23.576345733558952</c:v>
                      </c:pt>
                      <c:pt idx="74">
                        <c:v>23.576345733558952</c:v>
                      </c:pt>
                      <c:pt idx="75">
                        <c:v>23.576345733558952</c:v>
                      </c:pt>
                      <c:pt idx="76">
                        <c:v>23.576345733558952</c:v>
                      </c:pt>
                      <c:pt idx="77">
                        <c:v>23.576345733558952</c:v>
                      </c:pt>
                      <c:pt idx="78">
                        <c:v>23.576345733558952</c:v>
                      </c:pt>
                      <c:pt idx="79">
                        <c:v>23.576345733558952</c:v>
                      </c:pt>
                      <c:pt idx="80">
                        <c:v>23.576345733558952</c:v>
                      </c:pt>
                      <c:pt idx="81">
                        <c:v>23.576345733558952</c:v>
                      </c:pt>
                      <c:pt idx="82">
                        <c:v>23.576345733558952</c:v>
                      </c:pt>
                      <c:pt idx="83">
                        <c:v>23.576345733558952</c:v>
                      </c:pt>
                      <c:pt idx="84">
                        <c:v>23.576345733558952</c:v>
                      </c:pt>
                      <c:pt idx="85">
                        <c:v>23.576345733558952</c:v>
                      </c:pt>
                      <c:pt idx="86">
                        <c:v>23.576345733558952</c:v>
                      </c:pt>
                      <c:pt idx="87">
                        <c:v>23.576345733558952</c:v>
                      </c:pt>
                      <c:pt idx="88">
                        <c:v>23.576345733558952</c:v>
                      </c:pt>
                      <c:pt idx="89">
                        <c:v>23.576345733558952</c:v>
                      </c:pt>
                      <c:pt idx="90">
                        <c:v>23.576345733558952</c:v>
                      </c:pt>
                      <c:pt idx="91">
                        <c:v>23.576345733558952</c:v>
                      </c:pt>
                      <c:pt idx="92">
                        <c:v>23.576345733558952</c:v>
                      </c:pt>
                      <c:pt idx="93">
                        <c:v>23.576345733558952</c:v>
                      </c:pt>
                      <c:pt idx="94">
                        <c:v>23.576345733558952</c:v>
                      </c:pt>
                      <c:pt idx="95">
                        <c:v>23.576345733558952</c:v>
                      </c:pt>
                      <c:pt idx="96">
                        <c:v>23.576345733558952</c:v>
                      </c:pt>
                      <c:pt idx="97">
                        <c:v>23.576345733558952</c:v>
                      </c:pt>
                      <c:pt idx="98">
                        <c:v>23.576345733558952</c:v>
                      </c:pt>
                      <c:pt idx="99">
                        <c:v>23.576345733558952</c:v>
                      </c:pt>
                      <c:pt idx="100">
                        <c:v>23.576345733558952</c:v>
                      </c:pt>
                      <c:pt idx="101">
                        <c:v>23.576345733558952</c:v>
                      </c:pt>
                      <c:pt idx="102">
                        <c:v>23.576345733558952</c:v>
                      </c:pt>
                      <c:pt idx="103">
                        <c:v>23.576345733558952</c:v>
                      </c:pt>
                      <c:pt idx="104">
                        <c:v>23.576345733558952</c:v>
                      </c:pt>
                      <c:pt idx="105">
                        <c:v>23.576345733558952</c:v>
                      </c:pt>
                      <c:pt idx="106">
                        <c:v>23.576345733558952</c:v>
                      </c:pt>
                      <c:pt idx="107">
                        <c:v>23.576345733558952</c:v>
                      </c:pt>
                      <c:pt idx="108">
                        <c:v>23.576345733558952</c:v>
                      </c:pt>
                      <c:pt idx="109">
                        <c:v>23.576345733558952</c:v>
                      </c:pt>
                      <c:pt idx="110">
                        <c:v>23.576345733558952</c:v>
                      </c:pt>
                      <c:pt idx="111">
                        <c:v>23.576345733558952</c:v>
                      </c:pt>
                      <c:pt idx="112">
                        <c:v>23.576345733558952</c:v>
                      </c:pt>
                      <c:pt idx="113">
                        <c:v>23.576345733558952</c:v>
                      </c:pt>
                      <c:pt idx="114">
                        <c:v>23.576345733558952</c:v>
                      </c:pt>
                      <c:pt idx="115">
                        <c:v>23.576345733558952</c:v>
                      </c:pt>
                      <c:pt idx="116">
                        <c:v>23.576345733558952</c:v>
                      </c:pt>
                      <c:pt idx="117">
                        <c:v>23.576345733558952</c:v>
                      </c:pt>
                      <c:pt idx="118">
                        <c:v>23.576345733558952</c:v>
                      </c:pt>
                      <c:pt idx="119">
                        <c:v>23.576345733558952</c:v>
                      </c:pt>
                      <c:pt idx="120">
                        <c:v>23.576345733558952</c:v>
                      </c:pt>
                      <c:pt idx="121">
                        <c:v>23.576345733558952</c:v>
                      </c:pt>
                      <c:pt idx="122">
                        <c:v>23.576345733558952</c:v>
                      </c:pt>
                      <c:pt idx="123">
                        <c:v>23.576345733558952</c:v>
                      </c:pt>
                      <c:pt idx="124">
                        <c:v>23.576345733558952</c:v>
                      </c:pt>
                      <c:pt idx="125">
                        <c:v>23.576345733558952</c:v>
                      </c:pt>
                      <c:pt idx="126">
                        <c:v>23.576345733558952</c:v>
                      </c:pt>
                      <c:pt idx="127">
                        <c:v>23.576345733558952</c:v>
                      </c:pt>
                      <c:pt idx="128">
                        <c:v>23.576345733558952</c:v>
                      </c:pt>
                      <c:pt idx="129">
                        <c:v>23.576345733558952</c:v>
                      </c:pt>
                      <c:pt idx="130">
                        <c:v>23.576345733558952</c:v>
                      </c:pt>
                      <c:pt idx="131">
                        <c:v>23.576345733558952</c:v>
                      </c:pt>
                      <c:pt idx="132">
                        <c:v>23.576345733558952</c:v>
                      </c:pt>
                      <c:pt idx="133">
                        <c:v>23.576345733558952</c:v>
                      </c:pt>
                      <c:pt idx="134">
                        <c:v>23.576345733558952</c:v>
                      </c:pt>
                      <c:pt idx="135">
                        <c:v>23.576345733558952</c:v>
                      </c:pt>
                      <c:pt idx="136">
                        <c:v>23.576345733558952</c:v>
                      </c:pt>
                      <c:pt idx="137">
                        <c:v>23.576345733558952</c:v>
                      </c:pt>
                      <c:pt idx="138">
                        <c:v>23.576345733558952</c:v>
                      </c:pt>
                      <c:pt idx="139">
                        <c:v>23.576345733558952</c:v>
                      </c:pt>
                      <c:pt idx="140">
                        <c:v>23.576345733558952</c:v>
                      </c:pt>
                      <c:pt idx="141">
                        <c:v>23.576345733558952</c:v>
                      </c:pt>
                      <c:pt idx="142">
                        <c:v>23.576345733558952</c:v>
                      </c:pt>
                      <c:pt idx="143">
                        <c:v>23.576345733558952</c:v>
                      </c:pt>
                      <c:pt idx="144">
                        <c:v>23.576345733558952</c:v>
                      </c:pt>
                      <c:pt idx="145">
                        <c:v>23.576345733558952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390-4827-A486-80162B8E867D}"/>
                  </c:ext>
                </c:extLst>
              </c15:ser>
            </c15:filteredAreaSeries>
            <c15:filteredArea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datalog_FINAL_1777319982!$O$1</c15:sqref>
                        </c15:formulaRef>
                      </c:ext>
                    </c:extLst>
                    <c:strCache>
                      <c:ptCount val="1"/>
                      <c:pt idx="0">
                        <c:v>RUIDO SUP/EPS32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solidFill>
                      <a:schemeClr val="accent2">
                        <a:lumMod val="40000"/>
                        <a:lumOff val="60000"/>
                      </a:schemeClr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datalog_FINAL_1777319982!$O$90:$O$235</c15:sqref>
                        </c15:formulaRef>
                      </c:ext>
                    </c:extLst>
                    <c:numCache>
                      <c:formatCode>General</c:formatCode>
                      <c:ptCount val="146"/>
                      <c:pt idx="0">
                        <c:v>116.90671830296179</c:v>
                      </c:pt>
                      <c:pt idx="1">
                        <c:v>116.90671830296179</c:v>
                      </c:pt>
                      <c:pt idx="2">
                        <c:v>116.90671830296179</c:v>
                      </c:pt>
                      <c:pt idx="3">
                        <c:v>116.90671830296179</c:v>
                      </c:pt>
                      <c:pt idx="4">
                        <c:v>116.90671830296179</c:v>
                      </c:pt>
                      <c:pt idx="5">
                        <c:v>116.90671830296179</c:v>
                      </c:pt>
                      <c:pt idx="6">
                        <c:v>116.90671830296179</c:v>
                      </c:pt>
                      <c:pt idx="7">
                        <c:v>116.90671830296179</c:v>
                      </c:pt>
                      <c:pt idx="8">
                        <c:v>116.90671830296179</c:v>
                      </c:pt>
                      <c:pt idx="9">
                        <c:v>116.90671830296179</c:v>
                      </c:pt>
                      <c:pt idx="10">
                        <c:v>116.90671830296179</c:v>
                      </c:pt>
                      <c:pt idx="11">
                        <c:v>116.90671830296179</c:v>
                      </c:pt>
                      <c:pt idx="12">
                        <c:v>116.90671830296179</c:v>
                      </c:pt>
                      <c:pt idx="13">
                        <c:v>116.90671830296179</c:v>
                      </c:pt>
                      <c:pt idx="14">
                        <c:v>116.90671830296179</c:v>
                      </c:pt>
                      <c:pt idx="15">
                        <c:v>116.90671830296179</c:v>
                      </c:pt>
                      <c:pt idx="16">
                        <c:v>116.90671830296179</c:v>
                      </c:pt>
                      <c:pt idx="17">
                        <c:v>116.90671830296179</c:v>
                      </c:pt>
                      <c:pt idx="18">
                        <c:v>116.90671830296179</c:v>
                      </c:pt>
                      <c:pt idx="19">
                        <c:v>116.90671830296179</c:v>
                      </c:pt>
                      <c:pt idx="20">
                        <c:v>116.90671830296179</c:v>
                      </c:pt>
                      <c:pt idx="21">
                        <c:v>116.90671830296179</c:v>
                      </c:pt>
                      <c:pt idx="22">
                        <c:v>116.90671830296179</c:v>
                      </c:pt>
                      <c:pt idx="23">
                        <c:v>116.90671830296179</c:v>
                      </c:pt>
                      <c:pt idx="24">
                        <c:v>116.90671830296179</c:v>
                      </c:pt>
                      <c:pt idx="25">
                        <c:v>116.90671830296179</c:v>
                      </c:pt>
                      <c:pt idx="26">
                        <c:v>116.90671830296179</c:v>
                      </c:pt>
                      <c:pt idx="27">
                        <c:v>116.90671830296179</c:v>
                      </c:pt>
                      <c:pt idx="28">
                        <c:v>116.90671830296179</c:v>
                      </c:pt>
                      <c:pt idx="29">
                        <c:v>116.90671830296179</c:v>
                      </c:pt>
                      <c:pt idx="30">
                        <c:v>116.90671830296179</c:v>
                      </c:pt>
                      <c:pt idx="31">
                        <c:v>116.90671830296179</c:v>
                      </c:pt>
                      <c:pt idx="32">
                        <c:v>116.90671830296179</c:v>
                      </c:pt>
                      <c:pt idx="33">
                        <c:v>116.90671830296179</c:v>
                      </c:pt>
                      <c:pt idx="34">
                        <c:v>116.90671830296179</c:v>
                      </c:pt>
                      <c:pt idx="35">
                        <c:v>116.90671830296179</c:v>
                      </c:pt>
                      <c:pt idx="36">
                        <c:v>116.90671830296179</c:v>
                      </c:pt>
                      <c:pt idx="37">
                        <c:v>116.90671830296179</c:v>
                      </c:pt>
                      <c:pt idx="38">
                        <c:v>116.90671830296179</c:v>
                      </c:pt>
                      <c:pt idx="39">
                        <c:v>116.90671830296179</c:v>
                      </c:pt>
                      <c:pt idx="40">
                        <c:v>116.90671830296179</c:v>
                      </c:pt>
                      <c:pt idx="41">
                        <c:v>116.90671830296179</c:v>
                      </c:pt>
                      <c:pt idx="42">
                        <c:v>116.90671830296179</c:v>
                      </c:pt>
                      <c:pt idx="43">
                        <c:v>116.90671830296179</c:v>
                      </c:pt>
                      <c:pt idx="44">
                        <c:v>116.90671830296179</c:v>
                      </c:pt>
                      <c:pt idx="45">
                        <c:v>116.90671830296179</c:v>
                      </c:pt>
                      <c:pt idx="46">
                        <c:v>116.90671830296179</c:v>
                      </c:pt>
                      <c:pt idx="47">
                        <c:v>116.90671830296179</c:v>
                      </c:pt>
                      <c:pt idx="48">
                        <c:v>116.90671830296179</c:v>
                      </c:pt>
                      <c:pt idx="49">
                        <c:v>116.90671830296179</c:v>
                      </c:pt>
                      <c:pt idx="50">
                        <c:v>116.90671830296179</c:v>
                      </c:pt>
                      <c:pt idx="51">
                        <c:v>116.90671830296179</c:v>
                      </c:pt>
                      <c:pt idx="52">
                        <c:v>116.90671830296179</c:v>
                      </c:pt>
                      <c:pt idx="53">
                        <c:v>116.90671830296179</c:v>
                      </c:pt>
                      <c:pt idx="54">
                        <c:v>116.90671830296179</c:v>
                      </c:pt>
                      <c:pt idx="55">
                        <c:v>116.90671830296179</c:v>
                      </c:pt>
                      <c:pt idx="56">
                        <c:v>116.90671830296179</c:v>
                      </c:pt>
                      <c:pt idx="57">
                        <c:v>116.90671830296179</c:v>
                      </c:pt>
                      <c:pt idx="58">
                        <c:v>116.90671830296179</c:v>
                      </c:pt>
                      <c:pt idx="59">
                        <c:v>116.90671830296179</c:v>
                      </c:pt>
                      <c:pt idx="60">
                        <c:v>116.90671830296179</c:v>
                      </c:pt>
                      <c:pt idx="61">
                        <c:v>116.90671830296179</c:v>
                      </c:pt>
                      <c:pt idx="62">
                        <c:v>116.90671830296179</c:v>
                      </c:pt>
                      <c:pt idx="63">
                        <c:v>116.90671830296179</c:v>
                      </c:pt>
                      <c:pt idx="64">
                        <c:v>116.90671830296179</c:v>
                      </c:pt>
                      <c:pt idx="65">
                        <c:v>116.90671830296179</c:v>
                      </c:pt>
                      <c:pt idx="66">
                        <c:v>116.90671830296179</c:v>
                      </c:pt>
                      <c:pt idx="67">
                        <c:v>116.90671830296179</c:v>
                      </c:pt>
                      <c:pt idx="68">
                        <c:v>116.90671830296179</c:v>
                      </c:pt>
                      <c:pt idx="69">
                        <c:v>116.90671830296179</c:v>
                      </c:pt>
                      <c:pt idx="70">
                        <c:v>116.90671830296179</c:v>
                      </c:pt>
                      <c:pt idx="71">
                        <c:v>116.90671830296179</c:v>
                      </c:pt>
                      <c:pt idx="72">
                        <c:v>116.90671830296179</c:v>
                      </c:pt>
                      <c:pt idx="73">
                        <c:v>116.90671830296179</c:v>
                      </c:pt>
                      <c:pt idx="74">
                        <c:v>116.90671830296179</c:v>
                      </c:pt>
                      <c:pt idx="75">
                        <c:v>116.90671830296179</c:v>
                      </c:pt>
                      <c:pt idx="76">
                        <c:v>116.90671830296179</c:v>
                      </c:pt>
                      <c:pt idx="77">
                        <c:v>116.90671830296179</c:v>
                      </c:pt>
                      <c:pt idx="78">
                        <c:v>116.90671830296179</c:v>
                      </c:pt>
                      <c:pt idx="79">
                        <c:v>116.90671830296179</c:v>
                      </c:pt>
                      <c:pt idx="80">
                        <c:v>116.90671830296179</c:v>
                      </c:pt>
                      <c:pt idx="81">
                        <c:v>116.90671830296179</c:v>
                      </c:pt>
                      <c:pt idx="82">
                        <c:v>116.90671830296179</c:v>
                      </c:pt>
                      <c:pt idx="83">
                        <c:v>116.90671830296179</c:v>
                      </c:pt>
                      <c:pt idx="84">
                        <c:v>116.90671830296179</c:v>
                      </c:pt>
                      <c:pt idx="85">
                        <c:v>116.90671830296179</c:v>
                      </c:pt>
                      <c:pt idx="86">
                        <c:v>116.90671830296179</c:v>
                      </c:pt>
                      <c:pt idx="87">
                        <c:v>116.90671830296179</c:v>
                      </c:pt>
                      <c:pt idx="88">
                        <c:v>116.90671830296179</c:v>
                      </c:pt>
                      <c:pt idx="89">
                        <c:v>116.90671830296179</c:v>
                      </c:pt>
                      <c:pt idx="90">
                        <c:v>116.90671830296179</c:v>
                      </c:pt>
                      <c:pt idx="91">
                        <c:v>116.90671830296179</c:v>
                      </c:pt>
                      <c:pt idx="92">
                        <c:v>116.90671830296179</c:v>
                      </c:pt>
                      <c:pt idx="93">
                        <c:v>116.90671830296179</c:v>
                      </c:pt>
                      <c:pt idx="94">
                        <c:v>116.90671830296179</c:v>
                      </c:pt>
                      <c:pt idx="95">
                        <c:v>116.90671830296179</c:v>
                      </c:pt>
                      <c:pt idx="96">
                        <c:v>116.90671830296179</c:v>
                      </c:pt>
                      <c:pt idx="97">
                        <c:v>116.90671830296179</c:v>
                      </c:pt>
                      <c:pt idx="98">
                        <c:v>116.90671830296179</c:v>
                      </c:pt>
                      <c:pt idx="99">
                        <c:v>116.90671830296179</c:v>
                      </c:pt>
                      <c:pt idx="100">
                        <c:v>116.90671830296179</c:v>
                      </c:pt>
                      <c:pt idx="101">
                        <c:v>116.90671830296179</c:v>
                      </c:pt>
                      <c:pt idx="102">
                        <c:v>116.90671830296179</c:v>
                      </c:pt>
                      <c:pt idx="103">
                        <c:v>116.90671830296179</c:v>
                      </c:pt>
                      <c:pt idx="104">
                        <c:v>116.90671830296179</c:v>
                      </c:pt>
                      <c:pt idx="105">
                        <c:v>116.90671830296179</c:v>
                      </c:pt>
                      <c:pt idx="106">
                        <c:v>116.90671830296179</c:v>
                      </c:pt>
                      <c:pt idx="107">
                        <c:v>116.90671830296179</c:v>
                      </c:pt>
                      <c:pt idx="108">
                        <c:v>116.90671830296179</c:v>
                      </c:pt>
                      <c:pt idx="109">
                        <c:v>116.90671830296179</c:v>
                      </c:pt>
                      <c:pt idx="110">
                        <c:v>116.90671830296179</c:v>
                      </c:pt>
                      <c:pt idx="111">
                        <c:v>116.90671830296179</c:v>
                      </c:pt>
                      <c:pt idx="112">
                        <c:v>116.90671830296179</c:v>
                      </c:pt>
                      <c:pt idx="113">
                        <c:v>116.90671830296179</c:v>
                      </c:pt>
                      <c:pt idx="114">
                        <c:v>116.90671830296179</c:v>
                      </c:pt>
                      <c:pt idx="115">
                        <c:v>116.90671830296179</c:v>
                      </c:pt>
                      <c:pt idx="116">
                        <c:v>116.90671830296179</c:v>
                      </c:pt>
                      <c:pt idx="117">
                        <c:v>116.90671830296179</c:v>
                      </c:pt>
                      <c:pt idx="118">
                        <c:v>116.90671830296179</c:v>
                      </c:pt>
                      <c:pt idx="119">
                        <c:v>116.90671830296179</c:v>
                      </c:pt>
                      <c:pt idx="120">
                        <c:v>116.90671830296179</c:v>
                      </c:pt>
                      <c:pt idx="121">
                        <c:v>116.90671830296179</c:v>
                      </c:pt>
                      <c:pt idx="122">
                        <c:v>116.90671830296179</c:v>
                      </c:pt>
                      <c:pt idx="123">
                        <c:v>116.90671830296179</c:v>
                      </c:pt>
                      <c:pt idx="124">
                        <c:v>116.90671830296179</c:v>
                      </c:pt>
                      <c:pt idx="125">
                        <c:v>116.90671830296179</c:v>
                      </c:pt>
                      <c:pt idx="126">
                        <c:v>116.90671830296179</c:v>
                      </c:pt>
                      <c:pt idx="127">
                        <c:v>116.90671830296179</c:v>
                      </c:pt>
                      <c:pt idx="128">
                        <c:v>116.90671830296179</c:v>
                      </c:pt>
                      <c:pt idx="129">
                        <c:v>116.90671830296179</c:v>
                      </c:pt>
                      <c:pt idx="130">
                        <c:v>116.90671830296179</c:v>
                      </c:pt>
                      <c:pt idx="131">
                        <c:v>116.90671830296179</c:v>
                      </c:pt>
                      <c:pt idx="132">
                        <c:v>116.90671830296179</c:v>
                      </c:pt>
                      <c:pt idx="133">
                        <c:v>116.90671830296179</c:v>
                      </c:pt>
                      <c:pt idx="134">
                        <c:v>116.90671830296179</c:v>
                      </c:pt>
                      <c:pt idx="135">
                        <c:v>116.90671830296179</c:v>
                      </c:pt>
                      <c:pt idx="136">
                        <c:v>116.90671830296179</c:v>
                      </c:pt>
                      <c:pt idx="137">
                        <c:v>116.90671830296179</c:v>
                      </c:pt>
                      <c:pt idx="138">
                        <c:v>116.90671830296179</c:v>
                      </c:pt>
                      <c:pt idx="139">
                        <c:v>116.90671830296179</c:v>
                      </c:pt>
                      <c:pt idx="140">
                        <c:v>116.90671830296179</c:v>
                      </c:pt>
                      <c:pt idx="141">
                        <c:v>116.90671830296179</c:v>
                      </c:pt>
                      <c:pt idx="142">
                        <c:v>116.90671830296179</c:v>
                      </c:pt>
                      <c:pt idx="143">
                        <c:v>116.90671830296179</c:v>
                      </c:pt>
                      <c:pt idx="144">
                        <c:v>116.90671830296179</c:v>
                      </c:pt>
                      <c:pt idx="145">
                        <c:v>116.90671830296179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390-4827-A486-80162B8E867D}"/>
                  </c:ext>
                </c:extLst>
              </c15:ser>
            </c15:filteredAreaSeries>
            <c15:filteredAreaSeries>
              <c15:ser>
                <c:idx val="5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datalog_FINAL_1777319982!$P$1</c15:sqref>
                        </c15:formulaRef>
                      </c:ext>
                    </c:extLst>
                    <c:strCache>
                      <c:ptCount val="1"/>
                      <c:pt idx="0">
                        <c:v>RUIDO INF/ESP32</c:v>
                      </c:pt>
                    </c:strCache>
                  </c:strRef>
                </c:tx>
                <c:spPr>
                  <a:noFill/>
                  <a:ln>
                    <a:solidFill>
                      <a:schemeClr val="accent2">
                        <a:lumMod val="40000"/>
                        <a:lumOff val="60000"/>
                      </a:schemeClr>
                    </a:solidFill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datalog_FINAL_1777319982!$P$90:$P$235</c15:sqref>
                        </c15:formulaRef>
                      </c:ext>
                    </c:extLst>
                    <c:numCache>
                      <c:formatCode>General</c:formatCode>
                      <c:ptCount val="146"/>
                      <c:pt idx="0">
                        <c:v>111.97136388881907</c:v>
                      </c:pt>
                      <c:pt idx="1">
                        <c:v>111.97136388881907</c:v>
                      </c:pt>
                      <c:pt idx="2">
                        <c:v>111.97136388881907</c:v>
                      </c:pt>
                      <c:pt idx="3">
                        <c:v>111.97136388881907</c:v>
                      </c:pt>
                      <c:pt idx="4">
                        <c:v>111.97136388881907</c:v>
                      </c:pt>
                      <c:pt idx="5">
                        <c:v>111.97136388881907</c:v>
                      </c:pt>
                      <c:pt idx="6">
                        <c:v>111.97136388881907</c:v>
                      </c:pt>
                      <c:pt idx="7">
                        <c:v>111.97136388881907</c:v>
                      </c:pt>
                      <c:pt idx="8">
                        <c:v>111.97136388881907</c:v>
                      </c:pt>
                      <c:pt idx="9">
                        <c:v>111.97136388881907</c:v>
                      </c:pt>
                      <c:pt idx="10">
                        <c:v>111.97136388881907</c:v>
                      </c:pt>
                      <c:pt idx="11">
                        <c:v>111.97136388881907</c:v>
                      </c:pt>
                      <c:pt idx="12">
                        <c:v>111.97136388881907</c:v>
                      </c:pt>
                      <c:pt idx="13">
                        <c:v>111.97136388881907</c:v>
                      </c:pt>
                      <c:pt idx="14">
                        <c:v>111.97136388881907</c:v>
                      </c:pt>
                      <c:pt idx="15">
                        <c:v>111.97136388881907</c:v>
                      </c:pt>
                      <c:pt idx="16">
                        <c:v>111.97136388881907</c:v>
                      </c:pt>
                      <c:pt idx="17">
                        <c:v>111.97136388881907</c:v>
                      </c:pt>
                      <c:pt idx="18">
                        <c:v>111.97136388881907</c:v>
                      </c:pt>
                      <c:pt idx="19">
                        <c:v>111.97136388881907</c:v>
                      </c:pt>
                      <c:pt idx="20">
                        <c:v>111.97136388881907</c:v>
                      </c:pt>
                      <c:pt idx="21">
                        <c:v>111.97136388881907</c:v>
                      </c:pt>
                      <c:pt idx="22">
                        <c:v>111.97136388881907</c:v>
                      </c:pt>
                      <c:pt idx="23">
                        <c:v>111.97136388881907</c:v>
                      </c:pt>
                      <c:pt idx="24">
                        <c:v>111.97136388881907</c:v>
                      </c:pt>
                      <c:pt idx="25">
                        <c:v>111.97136388881907</c:v>
                      </c:pt>
                      <c:pt idx="26">
                        <c:v>111.97136388881907</c:v>
                      </c:pt>
                      <c:pt idx="27">
                        <c:v>111.97136388881907</c:v>
                      </c:pt>
                      <c:pt idx="28">
                        <c:v>111.97136388881907</c:v>
                      </c:pt>
                      <c:pt idx="29">
                        <c:v>111.97136388881907</c:v>
                      </c:pt>
                      <c:pt idx="30">
                        <c:v>111.97136388881907</c:v>
                      </c:pt>
                      <c:pt idx="31">
                        <c:v>111.97136388881907</c:v>
                      </c:pt>
                      <c:pt idx="32">
                        <c:v>111.97136388881907</c:v>
                      </c:pt>
                      <c:pt idx="33">
                        <c:v>111.97136388881907</c:v>
                      </c:pt>
                      <c:pt idx="34">
                        <c:v>111.97136388881907</c:v>
                      </c:pt>
                      <c:pt idx="35">
                        <c:v>111.97136388881907</c:v>
                      </c:pt>
                      <c:pt idx="36">
                        <c:v>111.97136388881907</c:v>
                      </c:pt>
                      <c:pt idx="37">
                        <c:v>111.97136388881907</c:v>
                      </c:pt>
                      <c:pt idx="38">
                        <c:v>111.97136388881907</c:v>
                      </c:pt>
                      <c:pt idx="39">
                        <c:v>111.97136388881907</c:v>
                      </c:pt>
                      <c:pt idx="40">
                        <c:v>111.97136388881907</c:v>
                      </c:pt>
                      <c:pt idx="41">
                        <c:v>111.97136388881907</c:v>
                      </c:pt>
                      <c:pt idx="42">
                        <c:v>111.97136388881907</c:v>
                      </c:pt>
                      <c:pt idx="43">
                        <c:v>111.97136388881907</c:v>
                      </c:pt>
                      <c:pt idx="44">
                        <c:v>111.97136388881907</c:v>
                      </c:pt>
                      <c:pt idx="45">
                        <c:v>111.97136388881907</c:v>
                      </c:pt>
                      <c:pt idx="46">
                        <c:v>111.97136388881907</c:v>
                      </c:pt>
                      <c:pt idx="47">
                        <c:v>111.97136388881907</c:v>
                      </c:pt>
                      <c:pt idx="48">
                        <c:v>111.97136388881907</c:v>
                      </c:pt>
                      <c:pt idx="49">
                        <c:v>111.97136388881907</c:v>
                      </c:pt>
                      <c:pt idx="50">
                        <c:v>111.97136388881907</c:v>
                      </c:pt>
                      <c:pt idx="51">
                        <c:v>111.97136388881907</c:v>
                      </c:pt>
                      <c:pt idx="52">
                        <c:v>111.97136388881907</c:v>
                      </c:pt>
                      <c:pt idx="53">
                        <c:v>111.97136388881907</c:v>
                      </c:pt>
                      <c:pt idx="54">
                        <c:v>111.97136388881907</c:v>
                      </c:pt>
                      <c:pt idx="55">
                        <c:v>111.97136388881907</c:v>
                      </c:pt>
                      <c:pt idx="56">
                        <c:v>111.97136388881907</c:v>
                      </c:pt>
                      <c:pt idx="57">
                        <c:v>111.97136388881907</c:v>
                      </c:pt>
                      <c:pt idx="58">
                        <c:v>111.97136388881907</c:v>
                      </c:pt>
                      <c:pt idx="59">
                        <c:v>111.97136388881907</c:v>
                      </c:pt>
                      <c:pt idx="60">
                        <c:v>111.97136388881907</c:v>
                      </c:pt>
                      <c:pt idx="61">
                        <c:v>111.97136388881907</c:v>
                      </c:pt>
                      <c:pt idx="62">
                        <c:v>111.97136388881907</c:v>
                      </c:pt>
                      <c:pt idx="63">
                        <c:v>111.97136388881907</c:v>
                      </c:pt>
                      <c:pt idx="64">
                        <c:v>111.97136388881907</c:v>
                      </c:pt>
                      <c:pt idx="65">
                        <c:v>111.97136388881907</c:v>
                      </c:pt>
                      <c:pt idx="66">
                        <c:v>111.97136388881907</c:v>
                      </c:pt>
                      <c:pt idx="67">
                        <c:v>111.97136388881907</c:v>
                      </c:pt>
                      <c:pt idx="68">
                        <c:v>111.97136388881907</c:v>
                      </c:pt>
                      <c:pt idx="69">
                        <c:v>111.97136388881907</c:v>
                      </c:pt>
                      <c:pt idx="70">
                        <c:v>111.97136388881907</c:v>
                      </c:pt>
                      <c:pt idx="71">
                        <c:v>111.97136388881907</c:v>
                      </c:pt>
                      <c:pt idx="72">
                        <c:v>111.97136388881907</c:v>
                      </c:pt>
                      <c:pt idx="73">
                        <c:v>111.97136388881907</c:v>
                      </c:pt>
                      <c:pt idx="74">
                        <c:v>111.97136388881907</c:v>
                      </c:pt>
                      <c:pt idx="75">
                        <c:v>111.97136388881907</c:v>
                      </c:pt>
                      <c:pt idx="76">
                        <c:v>111.97136388881907</c:v>
                      </c:pt>
                      <c:pt idx="77">
                        <c:v>111.97136388881907</c:v>
                      </c:pt>
                      <c:pt idx="78">
                        <c:v>111.97136388881907</c:v>
                      </c:pt>
                      <c:pt idx="79">
                        <c:v>111.97136388881907</c:v>
                      </c:pt>
                      <c:pt idx="80">
                        <c:v>111.97136388881907</c:v>
                      </c:pt>
                      <c:pt idx="81">
                        <c:v>111.97136388881907</c:v>
                      </c:pt>
                      <c:pt idx="82">
                        <c:v>111.97136388881907</c:v>
                      </c:pt>
                      <c:pt idx="83">
                        <c:v>111.97136388881907</c:v>
                      </c:pt>
                      <c:pt idx="84">
                        <c:v>111.97136388881907</c:v>
                      </c:pt>
                      <c:pt idx="85">
                        <c:v>111.97136388881907</c:v>
                      </c:pt>
                      <c:pt idx="86">
                        <c:v>111.97136388881907</c:v>
                      </c:pt>
                      <c:pt idx="87">
                        <c:v>111.97136388881907</c:v>
                      </c:pt>
                      <c:pt idx="88">
                        <c:v>111.97136388881907</c:v>
                      </c:pt>
                      <c:pt idx="89">
                        <c:v>111.97136388881907</c:v>
                      </c:pt>
                      <c:pt idx="90">
                        <c:v>111.97136388881907</c:v>
                      </c:pt>
                      <c:pt idx="91">
                        <c:v>111.97136388881907</c:v>
                      </c:pt>
                      <c:pt idx="92">
                        <c:v>111.97136388881907</c:v>
                      </c:pt>
                      <c:pt idx="93">
                        <c:v>111.97136388881907</c:v>
                      </c:pt>
                      <c:pt idx="94">
                        <c:v>111.97136388881907</c:v>
                      </c:pt>
                      <c:pt idx="95">
                        <c:v>111.97136388881907</c:v>
                      </c:pt>
                      <c:pt idx="96">
                        <c:v>111.97136388881907</c:v>
                      </c:pt>
                      <c:pt idx="97">
                        <c:v>111.97136388881907</c:v>
                      </c:pt>
                      <c:pt idx="98">
                        <c:v>111.97136388881907</c:v>
                      </c:pt>
                      <c:pt idx="99">
                        <c:v>111.97136388881907</c:v>
                      </c:pt>
                      <c:pt idx="100">
                        <c:v>111.97136388881907</c:v>
                      </c:pt>
                      <c:pt idx="101">
                        <c:v>111.97136388881907</c:v>
                      </c:pt>
                      <c:pt idx="102">
                        <c:v>111.97136388881907</c:v>
                      </c:pt>
                      <c:pt idx="103">
                        <c:v>111.97136388881907</c:v>
                      </c:pt>
                      <c:pt idx="104">
                        <c:v>111.97136388881907</c:v>
                      </c:pt>
                      <c:pt idx="105">
                        <c:v>111.97136388881907</c:v>
                      </c:pt>
                      <c:pt idx="106">
                        <c:v>111.97136388881907</c:v>
                      </c:pt>
                      <c:pt idx="107">
                        <c:v>111.97136388881907</c:v>
                      </c:pt>
                      <c:pt idx="108">
                        <c:v>111.97136388881907</c:v>
                      </c:pt>
                      <c:pt idx="109">
                        <c:v>111.97136388881907</c:v>
                      </c:pt>
                      <c:pt idx="110">
                        <c:v>111.97136388881907</c:v>
                      </c:pt>
                      <c:pt idx="111">
                        <c:v>111.97136388881907</c:v>
                      </c:pt>
                      <c:pt idx="112">
                        <c:v>111.97136388881907</c:v>
                      </c:pt>
                      <c:pt idx="113">
                        <c:v>111.97136388881907</c:v>
                      </c:pt>
                      <c:pt idx="114">
                        <c:v>111.97136388881907</c:v>
                      </c:pt>
                      <c:pt idx="115">
                        <c:v>111.97136388881907</c:v>
                      </c:pt>
                      <c:pt idx="116">
                        <c:v>111.97136388881907</c:v>
                      </c:pt>
                      <c:pt idx="117">
                        <c:v>111.97136388881907</c:v>
                      </c:pt>
                      <c:pt idx="118">
                        <c:v>111.97136388881907</c:v>
                      </c:pt>
                      <c:pt idx="119">
                        <c:v>111.97136388881907</c:v>
                      </c:pt>
                      <c:pt idx="120">
                        <c:v>111.97136388881907</c:v>
                      </c:pt>
                      <c:pt idx="121">
                        <c:v>111.97136388881907</c:v>
                      </c:pt>
                      <c:pt idx="122">
                        <c:v>111.97136388881907</c:v>
                      </c:pt>
                      <c:pt idx="123">
                        <c:v>111.97136388881907</c:v>
                      </c:pt>
                      <c:pt idx="124">
                        <c:v>111.97136388881907</c:v>
                      </c:pt>
                      <c:pt idx="125">
                        <c:v>111.97136388881907</c:v>
                      </c:pt>
                      <c:pt idx="126">
                        <c:v>111.97136388881907</c:v>
                      </c:pt>
                      <c:pt idx="127">
                        <c:v>111.97136388881907</c:v>
                      </c:pt>
                      <c:pt idx="128">
                        <c:v>111.97136388881907</c:v>
                      </c:pt>
                      <c:pt idx="129">
                        <c:v>111.97136388881907</c:v>
                      </c:pt>
                      <c:pt idx="130">
                        <c:v>111.97136388881907</c:v>
                      </c:pt>
                      <c:pt idx="131">
                        <c:v>111.97136388881907</c:v>
                      </c:pt>
                      <c:pt idx="132">
                        <c:v>111.97136388881907</c:v>
                      </c:pt>
                      <c:pt idx="133">
                        <c:v>111.97136388881907</c:v>
                      </c:pt>
                      <c:pt idx="134">
                        <c:v>111.97136388881907</c:v>
                      </c:pt>
                      <c:pt idx="135">
                        <c:v>111.97136388881907</c:v>
                      </c:pt>
                      <c:pt idx="136">
                        <c:v>111.97136388881907</c:v>
                      </c:pt>
                      <c:pt idx="137">
                        <c:v>111.97136388881907</c:v>
                      </c:pt>
                      <c:pt idx="138">
                        <c:v>111.97136388881907</c:v>
                      </c:pt>
                      <c:pt idx="139">
                        <c:v>111.97136388881907</c:v>
                      </c:pt>
                      <c:pt idx="140">
                        <c:v>111.97136388881907</c:v>
                      </c:pt>
                      <c:pt idx="141">
                        <c:v>111.97136388881907</c:v>
                      </c:pt>
                      <c:pt idx="142">
                        <c:v>111.97136388881907</c:v>
                      </c:pt>
                      <c:pt idx="143">
                        <c:v>111.97136388881907</c:v>
                      </c:pt>
                      <c:pt idx="144">
                        <c:v>111.97136388881907</c:v>
                      </c:pt>
                      <c:pt idx="145">
                        <c:v>111.97136388881907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390-4827-A486-80162B8E867D}"/>
                  </c:ext>
                </c:extLst>
              </c15:ser>
            </c15:filteredAreaSeries>
            <c15:filteredArea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datalog_FINAL_1777319982!$Q$1</c15:sqref>
                        </c15:formulaRef>
                      </c:ext>
                    </c:extLst>
                    <c:strCache>
                      <c:ptCount val="1"/>
                      <c:pt idx="0">
                        <c:v>BANDARUIDO/ESP32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datalog_FINAL_1777319982!$Q$90:$Q$235</c15:sqref>
                        </c15:formulaRef>
                      </c:ext>
                    </c:extLst>
                    <c:numCache>
                      <c:formatCode>General</c:formatCode>
                      <c:ptCount val="146"/>
                      <c:pt idx="0">
                        <c:v>4.9353544141427221</c:v>
                      </c:pt>
                      <c:pt idx="1">
                        <c:v>4.9353544141427221</c:v>
                      </c:pt>
                      <c:pt idx="2">
                        <c:v>4.9353544141427221</c:v>
                      </c:pt>
                      <c:pt idx="3">
                        <c:v>4.9353544141427221</c:v>
                      </c:pt>
                      <c:pt idx="4">
                        <c:v>4.9353544141427221</c:v>
                      </c:pt>
                      <c:pt idx="5">
                        <c:v>4.9353544141427221</c:v>
                      </c:pt>
                      <c:pt idx="6">
                        <c:v>4.9353544141427221</c:v>
                      </c:pt>
                      <c:pt idx="7">
                        <c:v>4.9353544141427221</c:v>
                      </c:pt>
                      <c:pt idx="8">
                        <c:v>4.9353544141427221</c:v>
                      </c:pt>
                      <c:pt idx="9">
                        <c:v>4.9353544141427221</c:v>
                      </c:pt>
                      <c:pt idx="10">
                        <c:v>4.9353544141427221</c:v>
                      </c:pt>
                      <c:pt idx="11">
                        <c:v>4.9353544141427221</c:v>
                      </c:pt>
                      <c:pt idx="12">
                        <c:v>4.9353544141427221</c:v>
                      </c:pt>
                      <c:pt idx="13">
                        <c:v>4.9353544141427221</c:v>
                      </c:pt>
                      <c:pt idx="14">
                        <c:v>4.9353544141427221</c:v>
                      </c:pt>
                      <c:pt idx="15">
                        <c:v>4.9353544141427221</c:v>
                      </c:pt>
                      <c:pt idx="16">
                        <c:v>4.9353544141427221</c:v>
                      </c:pt>
                      <c:pt idx="17">
                        <c:v>4.9353544141427221</c:v>
                      </c:pt>
                      <c:pt idx="18">
                        <c:v>4.9353544141427221</c:v>
                      </c:pt>
                      <c:pt idx="19">
                        <c:v>4.9353544141427221</c:v>
                      </c:pt>
                      <c:pt idx="20">
                        <c:v>4.9353544141427221</c:v>
                      </c:pt>
                      <c:pt idx="21">
                        <c:v>4.9353544141427221</c:v>
                      </c:pt>
                      <c:pt idx="22">
                        <c:v>4.9353544141427221</c:v>
                      </c:pt>
                      <c:pt idx="23">
                        <c:v>4.9353544141427221</c:v>
                      </c:pt>
                      <c:pt idx="24">
                        <c:v>4.9353544141427221</c:v>
                      </c:pt>
                      <c:pt idx="25">
                        <c:v>4.9353544141427221</c:v>
                      </c:pt>
                      <c:pt idx="26">
                        <c:v>4.9353544141427221</c:v>
                      </c:pt>
                      <c:pt idx="27">
                        <c:v>4.9353544141427221</c:v>
                      </c:pt>
                      <c:pt idx="28">
                        <c:v>4.9353544141427221</c:v>
                      </c:pt>
                      <c:pt idx="29">
                        <c:v>4.9353544141427221</c:v>
                      </c:pt>
                      <c:pt idx="30">
                        <c:v>4.9353544141427221</c:v>
                      </c:pt>
                      <c:pt idx="31">
                        <c:v>4.9353544141427221</c:v>
                      </c:pt>
                      <c:pt idx="32">
                        <c:v>4.9353544141427221</c:v>
                      </c:pt>
                      <c:pt idx="33">
                        <c:v>4.9353544141427221</c:v>
                      </c:pt>
                      <c:pt idx="34">
                        <c:v>4.9353544141427221</c:v>
                      </c:pt>
                      <c:pt idx="35">
                        <c:v>4.9353544141427221</c:v>
                      </c:pt>
                      <c:pt idx="36">
                        <c:v>4.9353544141427221</c:v>
                      </c:pt>
                      <c:pt idx="37">
                        <c:v>4.9353544141427221</c:v>
                      </c:pt>
                      <c:pt idx="38">
                        <c:v>4.9353544141427221</c:v>
                      </c:pt>
                      <c:pt idx="39">
                        <c:v>4.9353544141427221</c:v>
                      </c:pt>
                      <c:pt idx="40">
                        <c:v>4.9353544141427221</c:v>
                      </c:pt>
                      <c:pt idx="41">
                        <c:v>4.9353544141427221</c:v>
                      </c:pt>
                      <c:pt idx="42">
                        <c:v>4.9353544141427221</c:v>
                      </c:pt>
                      <c:pt idx="43">
                        <c:v>4.9353544141427221</c:v>
                      </c:pt>
                      <c:pt idx="44">
                        <c:v>4.9353544141427221</c:v>
                      </c:pt>
                      <c:pt idx="45">
                        <c:v>4.9353544141427221</c:v>
                      </c:pt>
                      <c:pt idx="46">
                        <c:v>4.9353544141427221</c:v>
                      </c:pt>
                      <c:pt idx="47">
                        <c:v>4.9353544141427221</c:v>
                      </c:pt>
                      <c:pt idx="48">
                        <c:v>4.9353544141427221</c:v>
                      </c:pt>
                      <c:pt idx="49">
                        <c:v>4.9353544141427221</c:v>
                      </c:pt>
                      <c:pt idx="50">
                        <c:v>4.9353544141427221</c:v>
                      </c:pt>
                      <c:pt idx="51">
                        <c:v>4.9353544141427221</c:v>
                      </c:pt>
                      <c:pt idx="52">
                        <c:v>4.9353544141427221</c:v>
                      </c:pt>
                      <c:pt idx="53">
                        <c:v>4.9353544141427221</c:v>
                      </c:pt>
                      <c:pt idx="54">
                        <c:v>4.9353544141427221</c:v>
                      </c:pt>
                      <c:pt idx="55">
                        <c:v>4.9353544141427221</c:v>
                      </c:pt>
                      <c:pt idx="56">
                        <c:v>4.9353544141427221</c:v>
                      </c:pt>
                      <c:pt idx="57">
                        <c:v>4.9353544141427221</c:v>
                      </c:pt>
                      <c:pt idx="58">
                        <c:v>4.9353544141427221</c:v>
                      </c:pt>
                      <c:pt idx="59">
                        <c:v>4.9353544141427221</c:v>
                      </c:pt>
                      <c:pt idx="60">
                        <c:v>4.9353544141427221</c:v>
                      </c:pt>
                      <c:pt idx="61">
                        <c:v>4.9353544141427221</c:v>
                      </c:pt>
                      <c:pt idx="62">
                        <c:v>4.9353544141427221</c:v>
                      </c:pt>
                      <c:pt idx="63">
                        <c:v>4.9353544141427221</c:v>
                      </c:pt>
                      <c:pt idx="64">
                        <c:v>4.9353544141427221</c:v>
                      </c:pt>
                      <c:pt idx="65">
                        <c:v>4.9353544141427221</c:v>
                      </c:pt>
                      <c:pt idx="66">
                        <c:v>4.9353544141427221</c:v>
                      </c:pt>
                      <c:pt idx="67">
                        <c:v>4.9353544141427221</c:v>
                      </c:pt>
                      <c:pt idx="68">
                        <c:v>4.9353544141427221</c:v>
                      </c:pt>
                      <c:pt idx="69">
                        <c:v>4.9353544141427221</c:v>
                      </c:pt>
                      <c:pt idx="70">
                        <c:v>4.9353544141427221</c:v>
                      </c:pt>
                      <c:pt idx="71">
                        <c:v>4.9353544141427221</c:v>
                      </c:pt>
                      <c:pt idx="72">
                        <c:v>4.9353544141427221</c:v>
                      </c:pt>
                      <c:pt idx="73">
                        <c:v>4.9353544141427221</c:v>
                      </c:pt>
                      <c:pt idx="74">
                        <c:v>4.9353544141427221</c:v>
                      </c:pt>
                      <c:pt idx="75">
                        <c:v>4.9353544141427221</c:v>
                      </c:pt>
                      <c:pt idx="76">
                        <c:v>4.9353544141427221</c:v>
                      </c:pt>
                      <c:pt idx="77">
                        <c:v>4.9353544141427221</c:v>
                      </c:pt>
                      <c:pt idx="78">
                        <c:v>4.9353544141427221</c:v>
                      </c:pt>
                      <c:pt idx="79">
                        <c:v>4.9353544141427221</c:v>
                      </c:pt>
                      <c:pt idx="80">
                        <c:v>4.9353544141427221</c:v>
                      </c:pt>
                      <c:pt idx="81">
                        <c:v>4.9353544141427221</c:v>
                      </c:pt>
                      <c:pt idx="82">
                        <c:v>4.9353544141427221</c:v>
                      </c:pt>
                      <c:pt idx="83">
                        <c:v>4.9353544141427221</c:v>
                      </c:pt>
                      <c:pt idx="84">
                        <c:v>4.9353544141427221</c:v>
                      </c:pt>
                      <c:pt idx="85">
                        <c:v>4.9353544141427221</c:v>
                      </c:pt>
                      <c:pt idx="86">
                        <c:v>4.9353544141427221</c:v>
                      </c:pt>
                      <c:pt idx="87">
                        <c:v>4.9353544141427221</c:v>
                      </c:pt>
                      <c:pt idx="88">
                        <c:v>4.9353544141427221</c:v>
                      </c:pt>
                      <c:pt idx="89">
                        <c:v>4.9353544141427221</c:v>
                      </c:pt>
                      <c:pt idx="90">
                        <c:v>4.9353544141427221</c:v>
                      </c:pt>
                      <c:pt idx="91">
                        <c:v>4.9353544141427221</c:v>
                      </c:pt>
                      <c:pt idx="92">
                        <c:v>4.9353544141427221</c:v>
                      </c:pt>
                      <c:pt idx="93">
                        <c:v>4.9353544141427221</c:v>
                      </c:pt>
                      <c:pt idx="94">
                        <c:v>4.9353544141427221</c:v>
                      </c:pt>
                      <c:pt idx="95">
                        <c:v>4.9353544141427221</c:v>
                      </c:pt>
                      <c:pt idx="96">
                        <c:v>4.9353544141427221</c:v>
                      </c:pt>
                      <c:pt idx="97">
                        <c:v>4.9353544141427221</c:v>
                      </c:pt>
                      <c:pt idx="98">
                        <c:v>4.9353544141427221</c:v>
                      </c:pt>
                      <c:pt idx="99">
                        <c:v>4.9353544141427221</c:v>
                      </c:pt>
                      <c:pt idx="100">
                        <c:v>4.9353544141427221</c:v>
                      </c:pt>
                      <c:pt idx="101">
                        <c:v>4.9353544141427221</c:v>
                      </c:pt>
                      <c:pt idx="102">
                        <c:v>4.9353544141427221</c:v>
                      </c:pt>
                      <c:pt idx="103">
                        <c:v>4.9353544141427221</c:v>
                      </c:pt>
                      <c:pt idx="104">
                        <c:v>4.9353544141427221</c:v>
                      </c:pt>
                      <c:pt idx="105">
                        <c:v>4.9353544141427221</c:v>
                      </c:pt>
                      <c:pt idx="106">
                        <c:v>4.9353544141427221</c:v>
                      </c:pt>
                      <c:pt idx="107">
                        <c:v>4.9353544141427221</c:v>
                      </c:pt>
                      <c:pt idx="108">
                        <c:v>4.9353544141427221</c:v>
                      </c:pt>
                      <c:pt idx="109">
                        <c:v>4.9353544141427221</c:v>
                      </c:pt>
                      <c:pt idx="110">
                        <c:v>4.9353544141427221</c:v>
                      </c:pt>
                      <c:pt idx="111">
                        <c:v>4.9353544141427221</c:v>
                      </c:pt>
                      <c:pt idx="112">
                        <c:v>4.9353544141427221</c:v>
                      </c:pt>
                      <c:pt idx="113">
                        <c:v>4.9353544141427221</c:v>
                      </c:pt>
                      <c:pt idx="114">
                        <c:v>4.9353544141427221</c:v>
                      </c:pt>
                      <c:pt idx="115">
                        <c:v>4.9353544141427221</c:v>
                      </c:pt>
                      <c:pt idx="116">
                        <c:v>4.9353544141427221</c:v>
                      </c:pt>
                      <c:pt idx="117">
                        <c:v>4.9353544141427221</c:v>
                      </c:pt>
                      <c:pt idx="118">
                        <c:v>4.9353544141427221</c:v>
                      </c:pt>
                      <c:pt idx="119">
                        <c:v>4.9353544141427221</c:v>
                      </c:pt>
                      <c:pt idx="120">
                        <c:v>4.9353544141427221</c:v>
                      </c:pt>
                      <c:pt idx="121">
                        <c:v>4.9353544141427221</c:v>
                      </c:pt>
                      <c:pt idx="122">
                        <c:v>4.9353544141427221</c:v>
                      </c:pt>
                      <c:pt idx="123">
                        <c:v>4.9353544141427221</c:v>
                      </c:pt>
                      <c:pt idx="124">
                        <c:v>4.9353544141427221</c:v>
                      </c:pt>
                      <c:pt idx="125">
                        <c:v>4.9353544141427221</c:v>
                      </c:pt>
                      <c:pt idx="126">
                        <c:v>4.9353544141427221</c:v>
                      </c:pt>
                      <c:pt idx="127">
                        <c:v>4.9353544141427221</c:v>
                      </c:pt>
                      <c:pt idx="128">
                        <c:v>4.9353544141427221</c:v>
                      </c:pt>
                      <c:pt idx="129">
                        <c:v>4.9353544141427221</c:v>
                      </c:pt>
                      <c:pt idx="130">
                        <c:v>4.9353544141427221</c:v>
                      </c:pt>
                      <c:pt idx="131">
                        <c:v>4.9353544141427221</c:v>
                      </c:pt>
                      <c:pt idx="132">
                        <c:v>4.9353544141427221</c:v>
                      </c:pt>
                      <c:pt idx="133">
                        <c:v>4.9353544141427221</c:v>
                      </c:pt>
                      <c:pt idx="134">
                        <c:v>4.9353544141427221</c:v>
                      </c:pt>
                      <c:pt idx="135">
                        <c:v>4.9353544141427221</c:v>
                      </c:pt>
                      <c:pt idx="136">
                        <c:v>4.9353544141427221</c:v>
                      </c:pt>
                      <c:pt idx="137">
                        <c:v>4.9353544141427221</c:v>
                      </c:pt>
                      <c:pt idx="138">
                        <c:v>4.9353544141427221</c:v>
                      </c:pt>
                      <c:pt idx="139">
                        <c:v>4.9353544141427221</c:v>
                      </c:pt>
                      <c:pt idx="140">
                        <c:v>4.9353544141427221</c:v>
                      </c:pt>
                      <c:pt idx="141">
                        <c:v>4.9353544141427221</c:v>
                      </c:pt>
                      <c:pt idx="142">
                        <c:v>4.9353544141427221</c:v>
                      </c:pt>
                      <c:pt idx="143">
                        <c:v>4.9353544141427221</c:v>
                      </c:pt>
                      <c:pt idx="144">
                        <c:v>4.9353544141427221</c:v>
                      </c:pt>
                      <c:pt idx="145">
                        <c:v>4.9353544141427221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390-4827-A486-80162B8E867D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strRef>
              <c:f>datalog_FINAL_1777319982!$B$1</c:f>
              <c:strCache>
                <c:ptCount val="1"/>
                <c:pt idx="0">
                  <c:v>Voltaje_PC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88900" cap="flat" cmpd="sng" algn="ctr">
                <a:solidFill>
                  <a:schemeClr val="accent1">
                    <a:lumMod val="40000"/>
                    <a:lumOff val="60000"/>
                    <a:alpha val="30000"/>
                  </a:schemeClr>
                </a:solidFill>
                <a:round/>
              </a:ln>
              <a:effectLst/>
            </c:spPr>
          </c:errBars>
          <c:cat>
            <c:numRef>
              <c:f>datalog_FINAL_1777319982!$A$90:$A$346</c:f>
              <c:numCache>
                <c:formatCode>General</c:formatCode>
                <c:ptCount val="146"/>
                <c:pt idx="0">
                  <c:v>21.74</c:v>
                </c:pt>
                <c:pt idx="1">
                  <c:v>21.99</c:v>
                </c:pt>
                <c:pt idx="2">
                  <c:v>22.25</c:v>
                </c:pt>
                <c:pt idx="3">
                  <c:v>22.5</c:v>
                </c:pt>
                <c:pt idx="4">
                  <c:v>22.75</c:v>
                </c:pt>
                <c:pt idx="5">
                  <c:v>23</c:v>
                </c:pt>
                <c:pt idx="6">
                  <c:v>23.25</c:v>
                </c:pt>
                <c:pt idx="7">
                  <c:v>23.5</c:v>
                </c:pt>
                <c:pt idx="8">
                  <c:v>23.76</c:v>
                </c:pt>
                <c:pt idx="9">
                  <c:v>24.01</c:v>
                </c:pt>
                <c:pt idx="10">
                  <c:v>24.26</c:v>
                </c:pt>
                <c:pt idx="11">
                  <c:v>24.52</c:v>
                </c:pt>
                <c:pt idx="12">
                  <c:v>24.77</c:v>
                </c:pt>
                <c:pt idx="13">
                  <c:v>25.02</c:v>
                </c:pt>
                <c:pt idx="14">
                  <c:v>25.27</c:v>
                </c:pt>
                <c:pt idx="15">
                  <c:v>25.53</c:v>
                </c:pt>
                <c:pt idx="16">
                  <c:v>25.78</c:v>
                </c:pt>
                <c:pt idx="17">
                  <c:v>26.03</c:v>
                </c:pt>
                <c:pt idx="18">
                  <c:v>26.28</c:v>
                </c:pt>
                <c:pt idx="19">
                  <c:v>26.55</c:v>
                </c:pt>
                <c:pt idx="20">
                  <c:v>26.79</c:v>
                </c:pt>
                <c:pt idx="21">
                  <c:v>27.04</c:v>
                </c:pt>
                <c:pt idx="22">
                  <c:v>27.29</c:v>
                </c:pt>
                <c:pt idx="23">
                  <c:v>27.55</c:v>
                </c:pt>
                <c:pt idx="24">
                  <c:v>27.8</c:v>
                </c:pt>
                <c:pt idx="25">
                  <c:v>28.06</c:v>
                </c:pt>
                <c:pt idx="26">
                  <c:v>28.31</c:v>
                </c:pt>
                <c:pt idx="27">
                  <c:v>28.56</c:v>
                </c:pt>
                <c:pt idx="28">
                  <c:v>28.82</c:v>
                </c:pt>
                <c:pt idx="29">
                  <c:v>29.07</c:v>
                </c:pt>
                <c:pt idx="30">
                  <c:v>29.32</c:v>
                </c:pt>
                <c:pt idx="31">
                  <c:v>29.57</c:v>
                </c:pt>
                <c:pt idx="32">
                  <c:v>29.83</c:v>
                </c:pt>
                <c:pt idx="33">
                  <c:v>30.08</c:v>
                </c:pt>
                <c:pt idx="34">
                  <c:v>30.33</c:v>
                </c:pt>
                <c:pt idx="35">
                  <c:v>30.58</c:v>
                </c:pt>
                <c:pt idx="36">
                  <c:v>30.84</c:v>
                </c:pt>
                <c:pt idx="37">
                  <c:v>31.09</c:v>
                </c:pt>
                <c:pt idx="38">
                  <c:v>31.34</c:v>
                </c:pt>
                <c:pt idx="39">
                  <c:v>31.6</c:v>
                </c:pt>
                <c:pt idx="40">
                  <c:v>31.85</c:v>
                </c:pt>
                <c:pt idx="41">
                  <c:v>32.1</c:v>
                </c:pt>
                <c:pt idx="42">
                  <c:v>32.35</c:v>
                </c:pt>
                <c:pt idx="43">
                  <c:v>32.61</c:v>
                </c:pt>
                <c:pt idx="44">
                  <c:v>32.86</c:v>
                </c:pt>
                <c:pt idx="45">
                  <c:v>33.11</c:v>
                </c:pt>
                <c:pt idx="46">
                  <c:v>33.36</c:v>
                </c:pt>
                <c:pt idx="47">
                  <c:v>33.61</c:v>
                </c:pt>
                <c:pt idx="48">
                  <c:v>33.869999999999997</c:v>
                </c:pt>
                <c:pt idx="49">
                  <c:v>34.119999999999997</c:v>
                </c:pt>
                <c:pt idx="50">
                  <c:v>34.369999999999997</c:v>
                </c:pt>
                <c:pt idx="51">
                  <c:v>34.619999999999997</c:v>
                </c:pt>
                <c:pt idx="52">
                  <c:v>34.880000000000003</c:v>
                </c:pt>
                <c:pt idx="53">
                  <c:v>35.130000000000003</c:v>
                </c:pt>
                <c:pt idx="54">
                  <c:v>35.380000000000003</c:v>
                </c:pt>
                <c:pt idx="55">
                  <c:v>35.64</c:v>
                </c:pt>
                <c:pt idx="56">
                  <c:v>35.89</c:v>
                </c:pt>
                <c:pt idx="57">
                  <c:v>36.14</c:v>
                </c:pt>
                <c:pt idx="58">
                  <c:v>36.39</c:v>
                </c:pt>
                <c:pt idx="59">
                  <c:v>36.64</c:v>
                </c:pt>
                <c:pt idx="60">
                  <c:v>36.89</c:v>
                </c:pt>
                <c:pt idx="61">
                  <c:v>37.15</c:v>
                </c:pt>
                <c:pt idx="62">
                  <c:v>37.4</c:v>
                </c:pt>
                <c:pt idx="63">
                  <c:v>37.65</c:v>
                </c:pt>
                <c:pt idx="64">
                  <c:v>37.9</c:v>
                </c:pt>
                <c:pt idx="65">
                  <c:v>38.159999999999997</c:v>
                </c:pt>
                <c:pt idx="66">
                  <c:v>38.42</c:v>
                </c:pt>
                <c:pt idx="67">
                  <c:v>38.659999999999997</c:v>
                </c:pt>
                <c:pt idx="68">
                  <c:v>38.909999999999997</c:v>
                </c:pt>
                <c:pt idx="69">
                  <c:v>39.159999999999997</c:v>
                </c:pt>
                <c:pt idx="70">
                  <c:v>39.42</c:v>
                </c:pt>
                <c:pt idx="71">
                  <c:v>39.67</c:v>
                </c:pt>
                <c:pt idx="72">
                  <c:v>39.92</c:v>
                </c:pt>
                <c:pt idx="73">
                  <c:v>40.17</c:v>
                </c:pt>
                <c:pt idx="74">
                  <c:v>40.42</c:v>
                </c:pt>
                <c:pt idx="75">
                  <c:v>40.68</c:v>
                </c:pt>
                <c:pt idx="76">
                  <c:v>40.93</c:v>
                </c:pt>
                <c:pt idx="77">
                  <c:v>41.18</c:v>
                </c:pt>
                <c:pt idx="78">
                  <c:v>41.44</c:v>
                </c:pt>
                <c:pt idx="79">
                  <c:v>41.69</c:v>
                </c:pt>
                <c:pt idx="80">
                  <c:v>41.94</c:v>
                </c:pt>
                <c:pt idx="81">
                  <c:v>42.19</c:v>
                </c:pt>
                <c:pt idx="82">
                  <c:v>42.45</c:v>
                </c:pt>
                <c:pt idx="83">
                  <c:v>42.7</c:v>
                </c:pt>
                <c:pt idx="84">
                  <c:v>42.96</c:v>
                </c:pt>
                <c:pt idx="85">
                  <c:v>43.2</c:v>
                </c:pt>
                <c:pt idx="86">
                  <c:v>43.45</c:v>
                </c:pt>
                <c:pt idx="87">
                  <c:v>43.71</c:v>
                </c:pt>
                <c:pt idx="88">
                  <c:v>43.96</c:v>
                </c:pt>
                <c:pt idx="89">
                  <c:v>44.21</c:v>
                </c:pt>
                <c:pt idx="90">
                  <c:v>44.47</c:v>
                </c:pt>
                <c:pt idx="91">
                  <c:v>44.71</c:v>
                </c:pt>
                <c:pt idx="92">
                  <c:v>44.96</c:v>
                </c:pt>
                <c:pt idx="93">
                  <c:v>45.22</c:v>
                </c:pt>
                <c:pt idx="94">
                  <c:v>45.47</c:v>
                </c:pt>
                <c:pt idx="95">
                  <c:v>45.72</c:v>
                </c:pt>
                <c:pt idx="96">
                  <c:v>45.97</c:v>
                </c:pt>
                <c:pt idx="97">
                  <c:v>46.23</c:v>
                </c:pt>
                <c:pt idx="98">
                  <c:v>46.48</c:v>
                </c:pt>
                <c:pt idx="99">
                  <c:v>46.73</c:v>
                </c:pt>
                <c:pt idx="100">
                  <c:v>46.98</c:v>
                </c:pt>
                <c:pt idx="101">
                  <c:v>47.23</c:v>
                </c:pt>
                <c:pt idx="102">
                  <c:v>47.49</c:v>
                </c:pt>
                <c:pt idx="103">
                  <c:v>47.74</c:v>
                </c:pt>
                <c:pt idx="104">
                  <c:v>47.99</c:v>
                </c:pt>
                <c:pt idx="105">
                  <c:v>48.24</c:v>
                </c:pt>
                <c:pt idx="106">
                  <c:v>48.49</c:v>
                </c:pt>
                <c:pt idx="107">
                  <c:v>48.75</c:v>
                </c:pt>
                <c:pt idx="108">
                  <c:v>49</c:v>
                </c:pt>
                <c:pt idx="109">
                  <c:v>49.25</c:v>
                </c:pt>
                <c:pt idx="110">
                  <c:v>49.51</c:v>
                </c:pt>
                <c:pt idx="111">
                  <c:v>49.76</c:v>
                </c:pt>
                <c:pt idx="112">
                  <c:v>50.01</c:v>
                </c:pt>
                <c:pt idx="113">
                  <c:v>50.26</c:v>
                </c:pt>
                <c:pt idx="114">
                  <c:v>50.52</c:v>
                </c:pt>
                <c:pt idx="115">
                  <c:v>50.77</c:v>
                </c:pt>
                <c:pt idx="116">
                  <c:v>51.02</c:v>
                </c:pt>
                <c:pt idx="117">
                  <c:v>51.27</c:v>
                </c:pt>
                <c:pt idx="118">
                  <c:v>51.53</c:v>
                </c:pt>
                <c:pt idx="119">
                  <c:v>51.8</c:v>
                </c:pt>
                <c:pt idx="120">
                  <c:v>52.04</c:v>
                </c:pt>
                <c:pt idx="121">
                  <c:v>52.29</c:v>
                </c:pt>
                <c:pt idx="122">
                  <c:v>52.54</c:v>
                </c:pt>
                <c:pt idx="123">
                  <c:v>52.79</c:v>
                </c:pt>
                <c:pt idx="124">
                  <c:v>53.04</c:v>
                </c:pt>
                <c:pt idx="125">
                  <c:v>53.3</c:v>
                </c:pt>
                <c:pt idx="126">
                  <c:v>53.55</c:v>
                </c:pt>
                <c:pt idx="127">
                  <c:v>53.8</c:v>
                </c:pt>
                <c:pt idx="128">
                  <c:v>54.06</c:v>
                </c:pt>
                <c:pt idx="129">
                  <c:v>54.31</c:v>
                </c:pt>
                <c:pt idx="130">
                  <c:v>54.56</c:v>
                </c:pt>
                <c:pt idx="131">
                  <c:v>54.82</c:v>
                </c:pt>
                <c:pt idx="132">
                  <c:v>55.07</c:v>
                </c:pt>
                <c:pt idx="133">
                  <c:v>55.32</c:v>
                </c:pt>
                <c:pt idx="134">
                  <c:v>55.57</c:v>
                </c:pt>
                <c:pt idx="135">
                  <c:v>55.82</c:v>
                </c:pt>
                <c:pt idx="136">
                  <c:v>56.09</c:v>
                </c:pt>
                <c:pt idx="137">
                  <c:v>56.33</c:v>
                </c:pt>
                <c:pt idx="138">
                  <c:v>56.58</c:v>
                </c:pt>
                <c:pt idx="139">
                  <c:v>56.83</c:v>
                </c:pt>
                <c:pt idx="140">
                  <c:v>57.08</c:v>
                </c:pt>
                <c:pt idx="141">
                  <c:v>57.34</c:v>
                </c:pt>
                <c:pt idx="142">
                  <c:v>57.59</c:v>
                </c:pt>
                <c:pt idx="143">
                  <c:v>57.84</c:v>
                </c:pt>
                <c:pt idx="144">
                  <c:v>58.09</c:v>
                </c:pt>
                <c:pt idx="145">
                  <c:v>58.34</c:v>
                </c:pt>
              </c:numCache>
            </c:numRef>
          </c:cat>
          <c:val>
            <c:numRef>
              <c:f>datalog_FINAL_1777319982!$B$90:$B$235</c:f>
              <c:numCache>
                <c:formatCode>General</c:formatCode>
                <c:ptCount val="146"/>
                <c:pt idx="0">
                  <c:v>110.53</c:v>
                </c:pt>
                <c:pt idx="1">
                  <c:v>132.80000000000001</c:v>
                </c:pt>
                <c:pt idx="2">
                  <c:v>97.48</c:v>
                </c:pt>
                <c:pt idx="3">
                  <c:v>102.22</c:v>
                </c:pt>
                <c:pt idx="4">
                  <c:v>122.42</c:v>
                </c:pt>
                <c:pt idx="5">
                  <c:v>117.61</c:v>
                </c:pt>
                <c:pt idx="6">
                  <c:v>119.62</c:v>
                </c:pt>
                <c:pt idx="7">
                  <c:v>114.27</c:v>
                </c:pt>
                <c:pt idx="8">
                  <c:v>104.31</c:v>
                </c:pt>
                <c:pt idx="9">
                  <c:v>130.80000000000001</c:v>
                </c:pt>
                <c:pt idx="10">
                  <c:v>96.98</c:v>
                </c:pt>
                <c:pt idx="11">
                  <c:v>119.6</c:v>
                </c:pt>
                <c:pt idx="12">
                  <c:v>122.38</c:v>
                </c:pt>
                <c:pt idx="13">
                  <c:v>95.36</c:v>
                </c:pt>
                <c:pt idx="14">
                  <c:v>131.32</c:v>
                </c:pt>
                <c:pt idx="15">
                  <c:v>105.55</c:v>
                </c:pt>
                <c:pt idx="16">
                  <c:v>115.46</c:v>
                </c:pt>
                <c:pt idx="17">
                  <c:v>112.78</c:v>
                </c:pt>
                <c:pt idx="18">
                  <c:v>112.06</c:v>
                </c:pt>
                <c:pt idx="19">
                  <c:v>121.29</c:v>
                </c:pt>
                <c:pt idx="20">
                  <c:v>97.5</c:v>
                </c:pt>
                <c:pt idx="21">
                  <c:v>124.95</c:v>
                </c:pt>
                <c:pt idx="22">
                  <c:v>120.4</c:v>
                </c:pt>
                <c:pt idx="23">
                  <c:v>114</c:v>
                </c:pt>
                <c:pt idx="24">
                  <c:v>112.45</c:v>
                </c:pt>
                <c:pt idx="25">
                  <c:v>114.29</c:v>
                </c:pt>
                <c:pt idx="26">
                  <c:v>95.04</c:v>
                </c:pt>
                <c:pt idx="27">
                  <c:v>120</c:v>
                </c:pt>
                <c:pt idx="28">
                  <c:v>100.56</c:v>
                </c:pt>
                <c:pt idx="29">
                  <c:v>119.75</c:v>
                </c:pt>
                <c:pt idx="30">
                  <c:v>102.13</c:v>
                </c:pt>
                <c:pt idx="31">
                  <c:v>99.05</c:v>
                </c:pt>
                <c:pt idx="32">
                  <c:v>125.38</c:v>
                </c:pt>
                <c:pt idx="33">
                  <c:v>108.76</c:v>
                </c:pt>
                <c:pt idx="34">
                  <c:v>119.81</c:v>
                </c:pt>
                <c:pt idx="35">
                  <c:v>127.18</c:v>
                </c:pt>
                <c:pt idx="36">
                  <c:v>106.42</c:v>
                </c:pt>
                <c:pt idx="37">
                  <c:v>126.91</c:v>
                </c:pt>
                <c:pt idx="38">
                  <c:v>93.44</c:v>
                </c:pt>
                <c:pt idx="39">
                  <c:v>107.78</c:v>
                </c:pt>
                <c:pt idx="40">
                  <c:v>127.67</c:v>
                </c:pt>
                <c:pt idx="41">
                  <c:v>90.27</c:v>
                </c:pt>
                <c:pt idx="42">
                  <c:v>114.91</c:v>
                </c:pt>
                <c:pt idx="43">
                  <c:v>101.9</c:v>
                </c:pt>
                <c:pt idx="44">
                  <c:v>101.29</c:v>
                </c:pt>
                <c:pt idx="45">
                  <c:v>136.1</c:v>
                </c:pt>
                <c:pt idx="46">
                  <c:v>113.72</c:v>
                </c:pt>
                <c:pt idx="47">
                  <c:v>133.56</c:v>
                </c:pt>
                <c:pt idx="48">
                  <c:v>118.37</c:v>
                </c:pt>
                <c:pt idx="49">
                  <c:v>107.85</c:v>
                </c:pt>
                <c:pt idx="50">
                  <c:v>108.83</c:v>
                </c:pt>
                <c:pt idx="51">
                  <c:v>94.77</c:v>
                </c:pt>
                <c:pt idx="52">
                  <c:v>118.99</c:v>
                </c:pt>
                <c:pt idx="53">
                  <c:v>110.8</c:v>
                </c:pt>
                <c:pt idx="54">
                  <c:v>118.51</c:v>
                </c:pt>
                <c:pt idx="55">
                  <c:v>130.77000000000001</c:v>
                </c:pt>
                <c:pt idx="56">
                  <c:v>118.48</c:v>
                </c:pt>
                <c:pt idx="57">
                  <c:v>109.66</c:v>
                </c:pt>
                <c:pt idx="58">
                  <c:v>114.11</c:v>
                </c:pt>
                <c:pt idx="59">
                  <c:v>92.93</c:v>
                </c:pt>
                <c:pt idx="60">
                  <c:v>119.08</c:v>
                </c:pt>
                <c:pt idx="61">
                  <c:v>100.25</c:v>
                </c:pt>
                <c:pt idx="62">
                  <c:v>109</c:v>
                </c:pt>
                <c:pt idx="63">
                  <c:v>105.67</c:v>
                </c:pt>
                <c:pt idx="64">
                  <c:v>110.13</c:v>
                </c:pt>
                <c:pt idx="65">
                  <c:v>134.96</c:v>
                </c:pt>
                <c:pt idx="66">
                  <c:v>106</c:v>
                </c:pt>
                <c:pt idx="67">
                  <c:v>99.71</c:v>
                </c:pt>
                <c:pt idx="68">
                  <c:v>112.51</c:v>
                </c:pt>
                <c:pt idx="69">
                  <c:v>89.86</c:v>
                </c:pt>
                <c:pt idx="70">
                  <c:v>105.42</c:v>
                </c:pt>
                <c:pt idx="71">
                  <c:v>122.55</c:v>
                </c:pt>
                <c:pt idx="72">
                  <c:v>91.74</c:v>
                </c:pt>
                <c:pt idx="73">
                  <c:v>138.82</c:v>
                </c:pt>
                <c:pt idx="74">
                  <c:v>96.47</c:v>
                </c:pt>
                <c:pt idx="75">
                  <c:v>129.47999999999999</c:v>
                </c:pt>
                <c:pt idx="76">
                  <c:v>115.93</c:v>
                </c:pt>
                <c:pt idx="77">
                  <c:v>100.66</c:v>
                </c:pt>
                <c:pt idx="78">
                  <c:v>136.21</c:v>
                </c:pt>
                <c:pt idx="79">
                  <c:v>110.12</c:v>
                </c:pt>
                <c:pt idx="80">
                  <c:v>123.19</c:v>
                </c:pt>
                <c:pt idx="81">
                  <c:v>136.18</c:v>
                </c:pt>
                <c:pt idx="82">
                  <c:v>102.92</c:v>
                </c:pt>
                <c:pt idx="83">
                  <c:v>119.06</c:v>
                </c:pt>
                <c:pt idx="84">
                  <c:v>126.23</c:v>
                </c:pt>
                <c:pt idx="85">
                  <c:v>119.43</c:v>
                </c:pt>
                <c:pt idx="86">
                  <c:v>110.29</c:v>
                </c:pt>
                <c:pt idx="87">
                  <c:v>95.61</c:v>
                </c:pt>
                <c:pt idx="88">
                  <c:v>130.59</c:v>
                </c:pt>
                <c:pt idx="89">
                  <c:v>110.69</c:v>
                </c:pt>
                <c:pt idx="90">
                  <c:v>121.29</c:v>
                </c:pt>
                <c:pt idx="91">
                  <c:v>132.77000000000001</c:v>
                </c:pt>
                <c:pt idx="92">
                  <c:v>110.02</c:v>
                </c:pt>
                <c:pt idx="93">
                  <c:v>126.5</c:v>
                </c:pt>
                <c:pt idx="94">
                  <c:v>112.25</c:v>
                </c:pt>
                <c:pt idx="95">
                  <c:v>101.39</c:v>
                </c:pt>
                <c:pt idx="96">
                  <c:v>127.7</c:v>
                </c:pt>
                <c:pt idx="97">
                  <c:v>105.24</c:v>
                </c:pt>
                <c:pt idx="98">
                  <c:v>121.06</c:v>
                </c:pt>
                <c:pt idx="99">
                  <c:v>132.75</c:v>
                </c:pt>
                <c:pt idx="100">
                  <c:v>95.71</c:v>
                </c:pt>
                <c:pt idx="101">
                  <c:v>128.13999999999999</c:v>
                </c:pt>
                <c:pt idx="102">
                  <c:v>106.5</c:v>
                </c:pt>
                <c:pt idx="103">
                  <c:v>105.07</c:v>
                </c:pt>
                <c:pt idx="104">
                  <c:v>109.69</c:v>
                </c:pt>
                <c:pt idx="105">
                  <c:v>111.8</c:v>
                </c:pt>
                <c:pt idx="106">
                  <c:v>127.99</c:v>
                </c:pt>
                <c:pt idx="107">
                  <c:v>99.2</c:v>
                </c:pt>
                <c:pt idx="108">
                  <c:v>99.52</c:v>
                </c:pt>
                <c:pt idx="109">
                  <c:v>126.9</c:v>
                </c:pt>
                <c:pt idx="110">
                  <c:v>91.52</c:v>
                </c:pt>
                <c:pt idx="111">
                  <c:v>112.96</c:v>
                </c:pt>
                <c:pt idx="112">
                  <c:v>116.28</c:v>
                </c:pt>
                <c:pt idx="113">
                  <c:v>99.3</c:v>
                </c:pt>
                <c:pt idx="114">
                  <c:v>132.1</c:v>
                </c:pt>
                <c:pt idx="115">
                  <c:v>96.58</c:v>
                </c:pt>
                <c:pt idx="116">
                  <c:v>115.3</c:v>
                </c:pt>
                <c:pt idx="117">
                  <c:v>104.42</c:v>
                </c:pt>
                <c:pt idx="118">
                  <c:v>97.01</c:v>
                </c:pt>
                <c:pt idx="119">
                  <c:v>125.77</c:v>
                </c:pt>
                <c:pt idx="120">
                  <c:v>103.1</c:v>
                </c:pt>
                <c:pt idx="121">
                  <c:v>103.07</c:v>
                </c:pt>
                <c:pt idx="122">
                  <c:v>120.31</c:v>
                </c:pt>
                <c:pt idx="123">
                  <c:v>91.41</c:v>
                </c:pt>
                <c:pt idx="124">
                  <c:v>121.1</c:v>
                </c:pt>
                <c:pt idx="125">
                  <c:v>102.93</c:v>
                </c:pt>
                <c:pt idx="126">
                  <c:v>103.03</c:v>
                </c:pt>
                <c:pt idx="127">
                  <c:v>113.78</c:v>
                </c:pt>
                <c:pt idx="128">
                  <c:v>107.42</c:v>
                </c:pt>
                <c:pt idx="129">
                  <c:v>122.05</c:v>
                </c:pt>
                <c:pt idx="130">
                  <c:v>124.13</c:v>
                </c:pt>
                <c:pt idx="131">
                  <c:v>121.69</c:v>
                </c:pt>
                <c:pt idx="132">
                  <c:v>126.09</c:v>
                </c:pt>
                <c:pt idx="133">
                  <c:v>111.44</c:v>
                </c:pt>
                <c:pt idx="134">
                  <c:v>117</c:v>
                </c:pt>
                <c:pt idx="135">
                  <c:v>117.69</c:v>
                </c:pt>
                <c:pt idx="136">
                  <c:v>117.69</c:v>
                </c:pt>
                <c:pt idx="137">
                  <c:v>117.69</c:v>
                </c:pt>
                <c:pt idx="138">
                  <c:v>117.69</c:v>
                </c:pt>
                <c:pt idx="139">
                  <c:v>117.69</c:v>
                </c:pt>
                <c:pt idx="140">
                  <c:v>117.69</c:v>
                </c:pt>
                <c:pt idx="141">
                  <c:v>117.69</c:v>
                </c:pt>
                <c:pt idx="142">
                  <c:v>117.69</c:v>
                </c:pt>
                <c:pt idx="143">
                  <c:v>117.69</c:v>
                </c:pt>
                <c:pt idx="144">
                  <c:v>117.69</c:v>
                </c:pt>
                <c:pt idx="145">
                  <c:v>117.69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90-4827-A486-80162B8E867D}"/>
            </c:ext>
          </c:extLst>
        </c:ser>
        <c:ser>
          <c:idx val="1"/>
          <c:order val="1"/>
          <c:tx>
            <c:strRef>
              <c:f>datalog_FINAL_1777319982!$C$1</c:f>
              <c:strCache>
                <c:ptCount val="1"/>
                <c:pt idx="0">
                  <c:v>Voltaje_ESP32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88900" cap="flat" cmpd="sng" algn="ctr">
                <a:solidFill>
                  <a:schemeClr val="accent2">
                    <a:lumMod val="40000"/>
                    <a:lumOff val="60000"/>
                    <a:alpha val="68000"/>
                  </a:schemeClr>
                </a:solidFill>
                <a:round/>
              </a:ln>
              <a:effectLst/>
            </c:spPr>
          </c:errBars>
          <c:cat>
            <c:numRef>
              <c:f>datalog_FINAL_1777319982!$A$90:$A$346</c:f>
              <c:numCache>
                <c:formatCode>General</c:formatCode>
                <c:ptCount val="146"/>
                <c:pt idx="0">
                  <c:v>21.74</c:v>
                </c:pt>
                <c:pt idx="1">
                  <c:v>21.99</c:v>
                </c:pt>
                <c:pt idx="2">
                  <c:v>22.25</c:v>
                </c:pt>
                <c:pt idx="3">
                  <c:v>22.5</c:v>
                </c:pt>
                <c:pt idx="4">
                  <c:v>22.75</c:v>
                </c:pt>
                <c:pt idx="5">
                  <c:v>23</c:v>
                </c:pt>
                <c:pt idx="6">
                  <c:v>23.25</c:v>
                </c:pt>
                <c:pt idx="7">
                  <c:v>23.5</c:v>
                </c:pt>
                <c:pt idx="8">
                  <c:v>23.76</c:v>
                </c:pt>
                <c:pt idx="9">
                  <c:v>24.01</c:v>
                </c:pt>
                <c:pt idx="10">
                  <c:v>24.26</c:v>
                </c:pt>
                <c:pt idx="11">
                  <c:v>24.52</c:v>
                </c:pt>
                <c:pt idx="12">
                  <c:v>24.77</c:v>
                </c:pt>
                <c:pt idx="13">
                  <c:v>25.02</c:v>
                </c:pt>
                <c:pt idx="14">
                  <c:v>25.27</c:v>
                </c:pt>
                <c:pt idx="15">
                  <c:v>25.53</c:v>
                </c:pt>
                <c:pt idx="16">
                  <c:v>25.78</c:v>
                </c:pt>
                <c:pt idx="17">
                  <c:v>26.03</c:v>
                </c:pt>
                <c:pt idx="18">
                  <c:v>26.28</c:v>
                </c:pt>
                <c:pt idx="19">
                  <c:v>26.55</c:v>
                </c:pt>
                <c:pt idx="20">
                  <c:v>26.79</c:v>
                </c:pt>
                <c:pt idx="21">
                  <c:v>27.04</c:v>
                </c:pt>
                <c:pt idx="22">
                  <c:v>27.29</c:v>
                </c:pt>
                <c:pt idx="23">
                  <c:v>27.55</c:v>
                </c:pt>
                <c:pt idx="24">
                  <c:v>27.8</c:v>
                </c:pt>
                <c:pt idx="25">
                  <c:v>28.06</c:v>
                </c:pt>
                <c:pt idx="26">
                  <c:v>28.31</c:v>
                </c:pt>
                <c:pt idx="27">
                  <c:v>28.56</c:v>
                </c:pt>
                <c:pt idx="28">
                  <c:v>28.82</c:v>
                </c:pt>
                <c:pt idx="29">
                  <c:v>29.07</c:v>
                </c:pt>
                <c:pt idx="30">
                  <c:v>29.32</c:v>
                </c:pt>
                <c:pt idx="31">
                  <c:v>29.57</c:v>
                </c:pt>
                <c:pt idx="32">
                  <c:v>29.83</c:v>
                </c:pt>
                <c:pt idx="33">
                  <c:v>30.08</c:v>
                </c:pt>
                <c:pt idx="34">
                  <c:v>30.33</c:v>
                </c:pt>
                <c:pt idx="35">
                  <c:v>30.58</c:v>
                </c:pt>
                <c:pt idx="36">
                  <c:v>30.84</c:v>
                </c:pt>
                <c:pt idx="37">
                  <c:v>31.09</c:v>
                </c:pt>
                <c:pt idx="38">
                  <c:v>31.34</c:v>
                </c:pt>
                <c:pt idx="39">
                  <c:v>31.6</c:v>
                </c:pt>
                <c:pt idx="40">
                  <c:v>31.85</c:v>
                </c:pt>
                <c:pt idx="41">
                  <c:v>32.1</c:v>
                </c:pt>
                <c:pt idx="42">
                  <c:v>32.35</c:v>
                </c:pt>
                <c:pt idx="43">
                  <c:v>32.61</c:v>
                </c:pt>
                <c:pt idx="44">
                  <c:v>32.86</c:v>
                </c:pt>
                <c:pt idx="45">
                  <c:v>33.11</c:v>
                </c:pt>
                <c:pt idx="46">
                  <c:v>33.36</c:v>
                </c:pt>
                <c:pt idx="47">
                  <c:v>33.61</c:v>
                </c:pt>
                <c:pt idx="48">
                  <c:v>33.869999999999997</c:v>
                </c:pt>
                <c:pt idx="49">
                  <c:v>34.119999999999997</c:v>
                </c:pt>
                <c:pt idx="50">
                  <c:v>34.369999999999997</c:v>
                </c:pt>
                <c:pt idx="51">
                  <c:v>34.619999999999997</c:v>
                </c:pt>
                <c:pt idx="52">
                  <c:v>34.880000000000003</c:v>
                </c:pt>
                <c:pt idx="53">
                  <c:v>35.130000000000003</c:v>
                </c:pt>
                <c:pt idx="54">
                  <c:v>35.380000000000003</c:v>
                </c:pt>
                <c:pt idx="55">
                  <c:v>35.64</c:v>
                </c:pt>
                <c:pt idx="56">
                  <c:v>35.89</c:v>
                </c:pt>
                <c:pt idx="57">
                  <c:v>36.14</c:v>
                </c:pt>
                <c:pt idx="58">
                  <c:v>36.39</c:v>
                </c:pt>
                <c:pt idx="59">
                  <c:v>36.64</c:v>
                </c:pt>
                <c:pt idx="60">
                  <c:v>36.89</c:v>
                </c:pt>
                <c:pt idx="61">
                  <c:v>37.15</c:v>
                </c:pt>
                <c:pt idx="62">
                  <c:v>37.4</c:v>
                </c:pt>
                <c:pt idx="63">
                  <c:v>37.65</c:v>
                </c:pt>
                <c:pt idx="64">
                  <c:v>37.9</c:v>
                </c:pt>
                <c:pt idx="65">
                  <c:v>38.159999999999997</c:v>
                </c:pt>
                <c:pt idx="66">
                  <c:v>38.42</c:v>
                </c:pt>
                <c:pt idx="67">
                  <c:v>38.659999999999997</c:v>
                </c:pt>
                <c:pt idx="68">
                  <c:v>38.909999999999997</c:v>
                </c:pt>
                <c:pt idx="69">
                  <c:v>39.159999999999997</c:v>
                </c:pt>
                <c:pt idx="70">
                  <c:v>39.42</c:v>
                </c:pt>
                <c:pt idx="71">
                  <c:v>39.67</c:v>
                </c:pt>
                <c:pt idx="72">
                  <c:v>39.92</c:v>
                </c:pt>
                <c:pt idx="73">
                  <c:v>40.17</c:v>
                </c:pt>
                <c:pt idx="74">
                  <c:v>40.42</c:v>
                </c:pt>
                <c:pt idx="75">
                  <c:v>40.68</c:v>
                </c:pt>
                <c:pt idx="76">
                  <c:v>40.93</c:v>
                </c:pt>
                <c:pt idx="77">
                  <c:v>41.18</c:v>
                </c:pt>
                <c:pt idx="78">
                  <c:v>41.44</c:v>
                </c:pt>
                <c:pt idx="79">
                  <c:v>41.69</c:v>
                </c:pt>
                <c:pt idx="80">
                  <c:v>41.94</c:v>
                </c:pt>
                <c:pt idx="81">
                  <c:v>42.19</c:v>
                </c:pt>
                <c:pt idx="82">
                  <c:v>42.45</c:v>
                </c:pt>
                <c:pt idx="83">
                  <c:v>42.7</c:v>
                </c:pt>
                <c:pt idx="84">
                  <c:v>42.96</c:v>
                </c:pt>
                <c:pt idx="85">
                  <c:v>43.2</c:v>
                </c:pt>
                <c:pt idx="86">
                  <c:v>43.45</c:v>
                </c:pt>
                <c:pt idx="87">
                  <c:v>43.71</c:v>
                </c:pt>
                <c:pt idx="88">
                  <c:v>43.96</c:v>
                </c:pt>
                <c:pt idx="89">
                  <c:v>44.21</c:v>
                </c:pt>
                <c:pt idx="90">
                  <c:v>44.47</c:v>
                </c:pt>
                <c:pt idx="91">
                  <c:v>44.71</c:v>
                </c:pt>
                <c:pt idx="92">
                  <c:v>44.96</c:v>
                </c:pt>
                <c:pt idx="93">
                  <c:v>45.22</c:v>
                </c:pt>
                <c:pt idx="94">
                  <c:v>45.47</c:v>
                </c:pt>
                <c:pt idx="95">
                  <c:v>45.72</c:v>
                </c:pt>
                <c:pt idx="96">
                  <c:v>45.97</c:v>
                </c:pt>
                <c:pt idx="97">
                  <c:v>46.23</c:v>
                </c:pt>
                <c:pt idx="98">
                  <c:v>46.48</c:v>
                </c:pt>
                <c:pt idx="99">
                  <c:v>46.73</c:v>
                </c:pt>
                <c:pt idx="100">
                  <c:v>46.98</c:v>
                </c:pt>
                <c:pt idx="101">
                  <c:v>47.23</c:v>
                </c:pt>
                <c:pt idx="102">
                  <c:v>47.49</c:v>
                </c:pt>
                <c:pt idx="103">
                  <c:v>47.74</c:v>
                </c:pt>
                <c:pt idx="104">
                  <c:v>47.99</c:v>
                </c:pt>
                <c:pt idx="105">
                  <c:v>48.24</c:v>
                </c:pt>
                <c:pt idx="106">
                  <c:v>48.49</c:v>
                </c:pt>
                <c:pt idx="107">
                  <c:v>48.75</c:v>
                </c:pt>
                <c:pt idx="108">
                  <c:v>49</c:v>
                </c:pt>
                <c:pt idx="109">
                  <c:v>49.25</c:v>
                </c:pt>
                <c:pt idx="110">
                  <c:v>49.51</c:v>
                </c:pt>
                <c:pt idx="111">
                  <c:v>49.76</c:v>
                </c:pt>
                <c:pt idx="112">
                  <c:v>50.01</c:v>
                </c:pt>
                <c:pt idx="113">
                  <c:v>50.26</c:v>
                </c:pt>
                <c:pt idx="114">
                  <c:v>50.52</c:v>
                </c:pt>
                <c:pt idx="115">
                  <c:v>50.77</c:v>
                </c:pt>
                <c:pt idx="116">
                  <c:v>51.02</c:v>
                </c:pt>
                <c:pt idx="117">
                  <c:v>51.27</c:v>
                </c:pt>
                <c:pt idx="118">
                  <c:v>51.53</c:v>
                </c:pt>
                <c:pt idx="119">
                  <c:v>51.8</c:v>
                </c:pt>
                <c:pt idx="120">
                  <c:v>52.04</c:v>
                </c:pt>
                <c:pt idx="121">
                  <c:v>52.29</c:v>
                </c:pt>
                <c:pt idx="122">
                  <c:v>52.54</c:v>
                </c:pt>
                <c:pt idx="123">
                  <c:v>52.79</c:v>
                </c:pt>
                <c:pt idx="124">
                  <c:v>53.04</c:v>
                </c:pt>
                <c:pt idx="125">
                  <c:v>53.3</c:v>
                </c:pt>
                <c:pt idx="126">
                  <c:v>53.55</c:v>
                </c:pt>
                <c:pt idx="127">
                  <c:v>53.8</c:v>
                </c:pt>
                <c:pt idx="128">
                  <c:v>54.06</c:v>
                </c:pt>
                <c:pt idx="129">
                  <c:v>54.31</c:v>
                </c:pt>
                <c:pt idx="130">
                  <c:v>54.56</c:v>
                </c:pt>
                <c:pt idx="131">
                  <c:v>54.82</c:v>
                </c:pt>
                <c:pt idx="132">
                  <c:v>55.07</c:v>
                </c:pt>
                <c:pt idx="133">
                  <c:v>55.32</c:v>
                </c:pt>
                <c:pt idx="134">
                  <c:v>55.57</c:v>
                </c:pt>
                <c:pt idx="135">
                  <c:v>55.82</c:v>
                </c:pt>
                <c:pt idx="136">
                  <c:v>56.09</c:v>
                </c:pt>
                <c:pt idx="137">
                  <c:v>56.33</c:v>
                </c:pt>
                <c:pt idx="138">
                  <c:v>56.58</c:v>
                </c:pt>
                <c:pt idx="139">
                  <c:v>56.83</c:v>
                </c:pt>
                <c:pt idx="140">
                  <c:v>57.08</c:v>
                </c:pt>
                <c:pt idx="141">
                  <c:v>57.34</c:v>
                </c:pt>
                <c:pt idx="142">
                  <c:v>57.59</c:v>
                </c:pt>
                <c:pt idx="143">
                  <c:v>57.84</c:v>
                </c:pt>
                <c:pt idx="144">
                  <c:v>58.09</c:v>
                </c:pt>
                <c:pt idx="145">
                  <c:v>58.34</c:v>
                </c:pt>
              </c:numCache>
            </c:numRef>
          </c:cat>
          <c:val>
            <c:numRef>
              <c:f>datalog_FINAL_1777319982!$C$90:$C$235</c:f>
              <c:numCache>
                <c:formatCode>General</c:formatCode>
                <c:ptCount val="146"/>
                <c:pt idx="0">
                  <c:v>112.3</c:v>
                </c:pt>
                <c:pt idx="1">
                  <c:v>110.7</c:v>
                </c:pt>
                <c:pt idx="2">
                  <c:v>113.7</c:v>
                </c:pt>
                <c:pt idx="3">
                  <c:v>113</c:v>
                </c:pt>
                <c:pt idx="4">
                  <c:v>115.8</c:v>
                </c:pt>
                <c:pt idx="5">
                  <c:v>113.5</c:v>
                </c:pt>
                <c:pt idx="6">
                  <c:v>113.5</c:v>
                </c:pt>
                <c:pt idx="7">
                  <c:v>115.6</c:v>
                </c:pt>
                <c:pt idx="8">
                  <c:v>109.4</c:v>
                </c:pt>
                <c:pt idx="9">
                  <c:v>113.8</c:v>
                </c:pt>
                <c:pt idx="10">
                  <c:v>115.6</c:v>
                </c:pt>
                <c:pt idx="11">
                  <c:v>113.3</c:v>
                </c:pt>
                <c:pt idx="12">
                  <c:v>115</c:v>
                </c:pt>
                <c:pt idx="13">
                  <c:v>111.4</c:v>
                </c:pt>
                <c:pt idx="14">
                  <c:v>113.1</c:v>
                </c:pt>
                <c:pt idx="15">
                  <c:v>115.9</c:v>
                </c:pt>
                <c:pt idx="16">
                  <c:v>112.3</c:v>
                </c:pt>
                <c:pt idx="17">
                  <c:v>116</c:v>
                </c:pt>
                <c:pt idx="18">
                  <c:v>114.4</c:v>
                </c:pt>
                <c:pt idx="19">
                  <c:v>113.6</c:v>
                </c:pt>
                <c:pt idx="20">
                  <c:v>116.7</c:v>
                </c:pt>
                <c:pt idx="21">
                  <c:v>114.3</c:v>
                </c:pt>
                <c:pt idx="22">
                  <c:v>115.5</c:v>
                </c:pt>
                <c:pt idx="23">
                  <c:v>114.8</c:v>
                </c:pt>
                <c:pt idx="24">
                  <c:v>115.1</c:v>
                </c:pt>
                <c:pt idx="25">
                  <c:v>118.2</c:v>
                </c:pt>
                <c:pt idx="26">
                  <c:v>112.1</c:v>
                </c:pt>
                <c:pt idx="27">
                  <c:v>114.1</c:v>
                </c:pt>
                <c:pt idx="28">
                  <c:v>116.7</c:v>
                </c:pt>
                <c:pt idx="29">
                  <c:v>113.6</c:v>
                </c:pt>
                <c:pt idx="30">
                  <c:v>117</c:v>
                </c:pt>
                <c:pt idx="31">
                  <c:v>111.8</c:v>
                </c:pt>
                <c:pt idx="32">
                  <c:v>112.7</c:v>
                </c:pt>
                <c:pt idx="33">
                  <c:v>114.2</c:v>
                </c:pt>
                <c:pt idx="34">
                  <c:v>109.9</c:v>
                </c:pt>
                <c:pt idx="35">
                  <c:v>114</c:v>
                </c:pt>
                <c:pt idx="36">
                  <c:v>108.2</c:v>
                </c:pt>
                <c:pt idx="37">
                  <c:v>113.1</c:v>
                </c:pt>
                <c:pt idx="38">
                  <c:v>114.3</c:v>
                </c:pt>
                <c:pt idx="39">
                  <c:v>111.2</c:v>
                </c:pt>
                <c:pt idx="40">
                  <c:v>116.5</c:v>
                </c:pt>
                <c:pt idx="41">
                  <c:v>112.6</c:v>
                </c:pt>
                <c:pt idx="42">
                  <c:v>112.7</c:v>
                </c:pt>
                <c:pt idx="43">
                  <c:v>115.5</c:v>
                </c:pt>
                <c:pt idx="44">
                  <c:v>110.3</c:v>
                </c:pt>
                <c:pt idx="45">
                  <c:v>113.2</c:v>
                </c:pt>
                <c:pt idx="46">
                  <c:v>116.2</c:v>
                </c:pt>
                <c:pt idx="47">
                  <c:v>114</c:v>
                </c:pt>
                <c:pt idx="48">
                  <c:v>119.3</c:v>
                </c:pt>
                <c:pt idx="49">
                  <c:v>117.2</c:v>
                </c:pt>
                <c:pt idx="50">
                  <c:v>117.1</c:v>
                </c:pt>
                <c:pt idx="51">
                  <c:v>114.3</c:v>
                </c:pt>
                <c:pt idx="52">
                  <c:v>111.2</c:v>
                </c:pt>
                <c:pt idx="53">
                  <c:v>114.7</c:v>
                </c:pt>
                <c:pt idx="54">
                  <c:v>113.4</c:v>
                </c:pt>
                <c:pt idx="55">
                  <c:v>115.6</c:v>
                </c:pt>
                <c:pt idx="56">
                  <c:v>115.8</c:v>
                </c:pt>
                <c:pt idx="57">
                  <c:v>112.2</c:v>
                </c:pt>
                <c:pt idx="58">
                  <c:v>115.8</c:v>
                </c:pt>
                <c:pt idx="59">
                  <c:v>114.6</c:v>
                </c:pt>
                <c:pt idx="60">
                  <c:v>114</c:v>
                </c:pt>
                <c:pt idx="61">
                  <c:v>115</c:v>
                </c:pt>
                <c:pt idx="62">
                  <c:v>108.5</c:v>
                </c:pt>
                <c:pt idx="63">
                  <c:v>115.5</c:v>
                </c:pt>
                <c:pt idx="64">
                  <c:v>112.1</c:v>
                </c:pt>
                <c:pt idx="65">
                  <c:v>110.4</c:v>
                </c:pt>
                <c:pt idx="66">
                  <c:v>113.5</c:v>
                </c:pt>
                <c:pt idx="67">
                  <c:v>110.1</c:v>
                </c:pt>
                <c:pt idx="68">
                  <c:v>115.4</c:v>
                </c:pt>
                <c:pt idx="69">
                  <c:v>113.7</c:v>
                </c:pt>
                <c:pt idx="70">
                  <c:v>111.6</c:v>
                </c:pt>
                <c:pt idx="71">
                  <c:v>115.3</c:v>
                </c:pt>
                <c:pt idx="72">
                  <c:v>108.9</c:v>
                </c:pt>
                <c:pt idx="73">
                  <c:v>113.3</c:v>
                </c:pt>
                <c:pt idx="74">
                  <c:v>114.2</c:v>
                </c:pt>
                <c:pt idx="75">
                  <c:v>109.9</c:v>
                </c:pt>
                <c:pt idx="76">
                  <c:v>115.8</c:v>
                </c:pt>
                <c:pt idx="77">
                  <c:v>115.1</c:v>
                </c:pt>
                <c:pt idx="78">
                  <c:v>114.2</c:v>
                </c:pt>
                <c:pt idx="79">
                  <c:v>117.6</c:v>
                </c:pt>
                <c:pt idx="80">
                  <c:v>115.7</c:v>
                </c:pt>
                <c:pt idx="81">
                  <c:v>118.2</c:v>
                </c:pt>
                <c:pt idx="82">
                  <c:v>115.6</c:v>
                </c:pt>
                <c:pt idx="83">
                  <c:v>114.9</c:v>
                </c:pt>
                <c:pt idx="84">
                  <c:v>116.5</c:v>
                </c:pt>
                <c:pt idx="85">
                  <c:v>110.4</c:v>
                </c:pt>
                <c:pt idx="86">
                  <c:v>114.9</c:v>
                </c:pt>
                <c:pt idx="87">
                  <c:v>114.7</c:v>
                </c:pt>
                <c:pt idx="88">
                  <c:v>116.2</c:v>
                </c:pt>
                <c:pt idx="89">
                  <c:v>118.7</c:v>
                </c:pt>
                <c:pt idx="90">
                  <c:v>115.8</c:v>
                </c:pt>
                <c:pt idx="91">
                  <c:v>117.7</c:v>
                </c:pt>
                <c:pt idx="92">
                  <c:v>117.3</c:v>
                </c:pt>
                <c:pt idx="93">
                  <c:v>117.2</c:v>
                </c:pt>
                <c:pt idx="94">
                  <c:v>121.2</c:v>
                </c:pt>
                <c:pt idx="95">
                  <c:v>118</c:v>
                </c:pt>
                <c:pt idx="96">
                  <c:v>116.5</c:v>
                </c:pt>
                <c:pt idx="97">
                  <c:v>116.6</c:v>
                </c:pt>
                <c:pt idx="98">
                  <c:v>113.2</c:v>
                </c:pt>
                <c:pt idx="99">
                  <c:v>117.4</c:v>
                </c:pt>
                <c:pt idx="100">
                  <c:v>115.7</c:v>
                </c:pt>
                <c:pt idx="101">
                  <c:v>115.9</c:v>
                </c:pt>
                <c:pt idx="102">
                  <c:v>116.7</c:v>
                </c:pt>
                <c:pt idx="103">
                  <c:v>114</c:v>
                </c:pt>
                <c:pt idx="104">
                  <c:v>116.3</c:v>
                </c:pt>
                <c:pt idx="105">
                  <c:v>116</c:v>
                </c:pt>
                <c:pt idx="106">
                  <c:v>112.4</c:v>
                </c:pt>
                <c:pt idx="107">
                  <c:v>115.5</c:v>
                </c:pt>
                <c:pt idx="108">
                  <c:v>111.1</c:v>
                </c:pt>
                <c:pt idx="109">
                  <c:v>114.6</c:v>
                </c:pt>
                <c:pt idx="110">
                  <c:v>111.7</c:v>
                </c:pt>
                <c:pt idx="111">
                  <c:v>107.8</c:v>
                </c:pt>
                <c:pt idx="112">
                  <c:v>111.1</c:v>
                </c:pt>
                <c:pt idx="113">
                  <c:v>110.9</c:v>
                </c:pt>
                <c:pt idx="114">
                  <c:v>114</c:v>
                </c:pt>
                <c:pt idx="115">
                  <c:v>116</c:v>
                </c:pt>
                <c:pt idx="116">
                  <c:v>110.1</c:v>
                </c:pt>
                <c:pt idx="117">
                  <c:v>116.1</c:v>
                </c:pt>
                <c:pt idx="118">
                  <c:v>114.4</c:v>
                </c:pt>
                <c:pt idx="119">
                  <c:v>116.8</c:v>
                </c:pt>
                <c:pt idx="120">
                  <c:v>117.3</c:v>
                </c:pt>
                <c:pt idx="121">
                  <c:v>114.8</c:v>
                </c:pt>
                <c:pt idx="122">
                  <c:v>115.5</c:v>
                </c:pt>
                <c:pt idx="123">
                  <c:v>114.7</c:v>
                </c:pt>
                <c:pt idx="124">
                  <c:v>113.9</c:v>
                </c:pt>
                <c:pt idx="125">
                  <c:v>115.4</c:v>
                </c:pt>
                <c:pt idx="126">
                  <c:v>111.2</c:v>
                </c:pt>
                <c:pt idx="127">
                  <c:v>112.6</c:v>
                </c:pt>
                <c:pt idx="128">
                  <c:v>112.6</c:v>
                </c:pt>
                <c:pt idx="129">
                  <c:v>112</c:v>
                </c:pt>
                <c:pt idx="130">
                  <c:v>115.1</c:v>
                </c:pt>
                <c:pt idx="131">
                  <c:v>111.6</c:v>
                </c:pt>
                <c:pt idx="132">
                  <c:v>117.7</c:v>
                </c:pt>
                <c:pt idx="133">
                  <c:v>116.1</c:v>
                </c:pt>
                <c:pt idx="134">
                  <c:v>112.3</c:v>
                </c:pt>
                <c:pt idx="135">
                  <c:v>114.4</c:v>
                </c:pt>
                <c:pt idx="136">
                  <c:v>115.7</c:v>
                </c:pt>
                <c:pt idx="137">
                  <c:v>116.4</c:v>
                </c:pt>
                <c:pt idx="138">
                  <c:v>116.9</c:v>
                </c:pt>
                <c:pt idx="139">
                  <c:v>117.2</c:v>
                </c:pt>
                <c:pt idx="140">
                  <c:v>117.4</c:v>
                </c:pt>
                <c:pt idx="141">
                  <c:v>117.5</c:v>
                </c:pt>
                <c:pt idx="142">
                  <c:v>117.5</c:v>
                </c:pt>
                <c:pt idx="143">
                  <c:v>117.6</c:v>
                </c:pt>
                <c:pt idx="144">
                  <c:v>117.6</c:v>
                </c:pt>
                <c:pt idx="145">
                  <c:v>117.6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90-4827-A486-80162B8E867D}"/>
            </c:ext>
          </c:extLst>
        </c:ser>
        <c:ser>
          <c:idx val="6"/>
          <c:order val="8"/>
          <c:tx>
            <c:strRef>
              <c:f>datalog_FINAL_1777319982!$D$1</c:f>
              <c:strCache>
                <c:ptCount val="1"/>
                <c:pt idx="0">
                  <c:v>Setpoint_V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datalog_FINAL_1777319982!$D$90:$D$235</c:f>
              <c:numCache>
                <c:formatCode>General</c:formatCode>
                <c:ptCount val="146"/>
                <c:pt idx="0">
                  <c:v>114</c:v>
                </c:pt>
                <c:pt idx="1">
                  <c:v>114</c:v>
                </c:pt>
                <c:pt idx="2">
                  <c:v>114</c:v>
                </c:pt>
                <c:pt idx="3">
                  <c:v>114</c:v>
                </c:pt>
                <c:pt idx="4">
                  <c:v>114</c:v>
                </c:pt>
                <c:pt idx="5">
                  <c:v>114</c:v>
                </c:pt>
                <c:pt idx="6">
                  <c:v>114</c:v>
                </c:pt>
                <c:pt idx="7">
                  <c:v>114</c:v>
                </c:pt>
                <c:pt idx="8">
                  <c:v>114</c:v>
                </c:pt>
                <c:pt idx="9">
                  <c:v>114</c:v>
                </c:pt>
                <c:pt idx="10">
                  <c:v>114</c:v>
                </c:pt>
                <c:pt idx="11">
                  <c:v>114</c:v>
                </c:pt>
                <c:pt idx="12">
                  <c:v>114</c:v>
                </c:pt>
                <c:pt idx="13">
                  <c:v>114</c:v>
                </c:pt>
                <c:pt idx="14">
                  <c:v>114</c:v>
                </c:pt>
                <c:pt idx="15">
                  <c:v>114</c:v>
                </c:pt>
                <c:pt idx="16">
                  <c:v>114</c:v>
                </c:pt>
                <c:pt idx="17">
                  <c:v>114</c:v>
                </c:pt>
                <c:pt idx="18">
                  <c:v>114</c:v>
                </c:pt>
                <c:pt idx="19">
                  <c:v>114</c:v>
                </c:pt>
                <c:pt idx="20">
                  <c:v>114</c:v>
                </c:pt>
                <c:pt idx="21">
                  <c:v>114</c:v>
                </c:pt>
                <c:pt idx="22">
                  <c:v>114</c:v>
                </c:pt>
                <c:pt idx="23">
                  <c:v>114</c:v>
                </c:pt>
                <c:pt idx="24">
                  <c:v>114</c:v>
                </c:pt>
                <c:pt idx="25">
                  <c:v>114</c:v>
                </c:pt>
                <c:pt idx="26">
                  <c:v>114</c:v>
                </c:pt>
                <c:pt idx="27">
                  <c:v>114</c:v>
                </c:pt>
                <c:pt idx="28">
                  <c:v>114</c:v>
                </c:pt>
                <c:pt idx="29">
                  <c:v>114</c:v>
                </c:pt>
                <c:pt idx="30">
                  <c:v>114</c:v>
                </c:pt>
                <c:pt idx="31">
                  <c:v>114</c:v>
                </c:pt>
                <c:pt idx="32">
                  <c:v>114</c:v>
                </c:pt>
                <c:pt idx="33">
                  <c:v>114</c:v>
                </c:pt>
                <c:pt idx="34">
                  <c:v>114</c:v>
                </c:pt>
                <c:pt idx="35">
                  <c:v>114</c:v>
                </c:pt>
                <c:pt idx="36">
                  <c:v>114</c:v>
                </c:pt>
                <c:pt idx="37">
                  <c:v>114</c:v>
                </c:pt>
                <c:pt idx="38">
                  <c:v>114</c:v>
                </c:pt>
                <c:pt idx="39">
                  <c:v>114</c:v>
                </c:pt>
                <c:pt idx="40">
                  <c:v>114</c:v>
                </c:pt>
                <c:pt idx="41">
                  <c:v>114</c:v>
                </c:pt>
                <c:pt idx="42">
                  <c:v>114</c:v>
                </c:pt>
                <c:pt idx="43">
                  <c:v>114</c:v>
                </c:pt>
                <c:pt idx="44">
                  <c:v>114</c:v>
                </c:pt>
                <c:pt idx="45">
                  <c:v>114</c:v>
                </c:pt>
                <c:pt idx="46">
                  <c:v>114</c:v>
                </c:pt>
                <c:pt idx="47">
                  <c:v>114</c:v>
                </c:pt>
                <c:pt idx="48">
                  <c:v>114</c:v>
                </c:pt>
                <c:pt idx="49">
                  <c:v>114</c:v>
                </c:pt>
                <c:pt idx="50">
                  <c:v>114</c:v>
                </c:pt>
                <c:pt idx="51">
                  <c:v>114</c:v>
                </c:pt>
                <c:pt idx="52">
                  <c:v>114</c:v>
                </c:pt>
                <c:pt idx="53">
                  <c:v>114</c:v>
                </c:pt>
                <c:pt idx="54">
                  <c:v>114</c:v>
                </c:pt>
                <c:pt idx="55">
                  <c:v>114</c:v>
                </c:pt>
                <c:pt idx="56">
                  <c:v>114</c:v>
                </c:pt>
                <c:pt idx="57">
                  <c:v>114</c:v>
                </c:pt>
                <c:pt idx="58">
                  <c:v>114</c:v>
                </c:pt>
                <c:pt idx="59">
                  <c:v>114</c:v>
                </c:pt>
                <c:pt idx="60">
                  <c:v>114</c:v>
                </c:pt>
                <c:pt idx="61">
                  <c:v>114</c:v>
                </c:pt>
                <c:pt idx="62">
                  <c:v>114</c:v>
                </c:pt>
                <c:pt idx="63">
                  <c:v>114</c:v>
                </c:pt>
                <c:pt idx="64">
                  <c:v>114</c:v>
                </c:pt>
                <c:pt idx="65">
                  <c:v>114</c:v>
                </c:pt>
                <c:pt idx="66">
                  <c:v>114</c:v>
                </c:pt>
                <c:pt idx="67">
                  <c:v>114</c:v>
                </c:pt>
                <c:pt idx="68">
                  <c:v>114</c:v>
                </c:pt>
                <c:pt idx="69">
                  <c:v>114</c:v>
                </c:pt>
                <c:pt idx="70">
                  <c:v>114</c:v>
                </c:pt>
                <c:pt idx="71">
                  <c:v>114</c:v>
                </c:pt>
                <c:pt idx="72">
                  <c:v>114</c:v>
                </c:pt>
                <c:pt idx="73">
                  <c:v>114</c:v>
                </c:pt>
                <c:pt idx="74">
                  <c:v>114</c:v>
                </c:pt>
                <c:pt idx="75">
                  <c:v>114</c:v>
                </c:pt>
                <c:pt idx="76">
                  <c:v>114</c:v>
                </c:pt>
                <c:pt idx="77">
                  <c:v>114</c:v>
                </c:pt>
                <c:pt idx="78">
                  <c:v>114</c:v>
                </c:pt>
                <c:pt idx="79">
                  <c:v>114</c:v>
                </c:pt>
                <c:pt idx="80">
                  <c:v>114</c:v>
                </c:pt>
                <c:pt idx="81">
                  <c:v>114</c:v>
                </c:pt>
                <c:pt idx="82">
                  <c:v>114</c:v>
                </c:pt>
                <c:pt idx="83">
                  <c:v>114</c:v>
                </c:pt>
                <c:pt idx="84">
                  <c:v>114</c:v>
                </c:pt>
                <c:pt idx="85">
                  <c:v>114</c:v>
                </c:pt>
                <c:pt idx="86">
                  <c:v>114</c:v>
                </c:pt>
                <c:pt idx="87">
                  <c:v>114</c:v>
                </c:pt>
                <c:pt idx="88">
                  <c:v>114</c:v>
                </c:pt>
                <c:pt idx="89">
                  <c:v>114</c:v>
                </c:pt>
                <c:pt idx="90">
                  <c:v>114</c:v>
                </c:pt>
                <c:pt idx="91">
                  <c:v>114</c:v>
                </c:pt>
                <c:pt idx="92">
                  <c:v>114</c:v>
                </c:pt>
                <c:pt idx="93">
                  <c:v>114</c:v>
                </c:pt>
                <c:pt idx="94">
                  <c:v>114</c:v>
                </c:pt>
                <c:pt idx="95">
                  <c:v>114</c:v>
                </c:pt>
                <c:pt idx="96">
                  <c:v>114</c:v>
                </c:pt>
                <c:pt idx="97">
                  <c:v>114</c:v>
                </c:pt>
                <c:pt idx="98">
                  <c:v>114</c:v>
                </c:pt>
                <c:pt idx="99">
                  <c:v>114</c:v>
                </c:pt>
                <c:pt idx="100">
                  <c:v>114</c:v>
                </c:pt>
                <c:pt idx="101">
                  <c:v>114</c:v>
                </c:pt>
                <c:pt idx="102">
                  <c:v>114</c:v>
                </c:pt>
                <c:pt idx="103">
                  <c:v>114</c:v>
                </c:pt>
                <c:pt idx="104">
                  <c:v>114</c:v>
                </c:pt>
                <c:pt idx="105">
                  <c:v>114</c:v>
                </c:pt>
                <c:pt idx="106">
                  <c:v>114</c:v>
                </c:pt>
                <c:pt idx="107">
                  <c:v>114</c:v>
                </c:pt>
                <c:pt idx="108">
                  <c:v>114</c:v>
                </c:pt>
                <c:pt idx="109">
                  <c:v>114</c:v>
                </c:pt>
                <c:pt idx="110">
                  <c:v>114</c:v>
                </c:pt>
                <c:pt idx="111">
                  <c:v>114</c:v>
                </c:pt>
                <c:pt idx="112">
                  <c:v>114</c:v>
                </c:pt>
                <c:pt idx="113">
                  <c:v>114</c:v>
                </c:pt>
                <c:pt idx="114">
                  <c:v>114</c:v>
                </c:pt>
                <c:pt idx="115">
                  <c:v>114</c:v>
                </c:pt>
                <c:pt idx="116">
                  <c:v>114</c:v>
                </c:pt>
                <c:pt idx="117">
                  <c:v>114</c:v>
                </c:pt>
                <c:pt idx="118">
                  <c:v>114</c:v>
                </c:pt>
                <c:pt idx="119">
                  <c:v>114</c:v>
                </c:pt>
                <c:pt idx="120">
                  <c:v>114</c:v>
                </c:pt>
                <c:pt idx="121">
                  <c:v>114</c:v>
                </c:pt>
                <c:pt idx="122">
                  <c:v>114</c:v>
                </c:pt>
                <c:pt idx="123">
                  <c:v>114</c:v>
                </c:pt>
                <c:pt idx="124">
                  <c:v>114</c:v>
                </c:pt>
                <c:pt idx="125">
                  <c:v>114</c:v>
                </c:pt>
                <c:pt idx="126">
                  <c:v>114</c:v>
                </c:pt>
                <c:pt idx="127">
                  <c:v>114</c:v>
                </c:pt>
                <c:pt idx="128">
                  <c:v>114</c:v>
                </c:pt>
                <c:pt idx="129">
                  <c:v>114</c:v>
                </c:pt>
                <c:pt idx="130">
                  <c:v>114</c:v>
                </c:pt>
                <c:pt idx="131">
                  <c:v>114</c:v>
                </c:pt>
                <c:pt idx="132">
                  <c:v>114</c:v>
                </c:pt>
                <c:pt idx="133">
                  <c:v>114</c:v>
                </c:pt>
                <c:pt idx="134">
                  <c:v>114</c:v>
                </c:pt>
                <c:pt idx="135">
                  <c:v>114</c:v>
                </c:pt>
                <c:pt idx="136">
                  <c:v>114</c:v>
                </c:pt>
                <c:pt idx="137">
                  <c:v>114</c:v>
                </c:pt>
                <c:pt idx="138">
                  <c:v>114</c:v>
                </c:pt>
                <c:pt idx="139">
                  <c:v>114</c:v>
                </c:pt>
                <c:pt idx="140">
                  <c:v>114</c:v>
                </c:pt>
                <c:pt idx="141">
                  <c:v>114</c:v>
                </c:pt>
                <c:pt idx="142">
                  <c:v>114</c:v>
                </c:pt>
                <c:pt idx="143">
                  <c:v>114</c:v>
                </c:pt>
                <c:pt idx="144">
                  <c:v>114</c:v>
                </c:pt>
                <c:pt idx="145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390-4827-A486-80162B8E8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378720"/>
        <c:axId val="2052381600"/>
      </c:lineChart>
      <c:catAx>
        <c:axId val="205237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(seg)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381600"/>
        <c:crosses val="autoZero"/>
        <c:auto val="1"/>
        <c:lblAlgn val="ctr"/>
        <c:lblOffset val="100"/>
        <c:noMultiLvlLbl val="0"/>
      </c:catAx>
      <c:valAx>
        <c:axId val="2052381600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Voltaje de Arco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37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232020</xdr:colOff>
      <xdr:row>90</xdr:row>
      <xdr:rowOff>2</xdr:rowOff>
    </xdr:from>
    <xdr:to>
      <xdr:col>30</xdr:col>
      <xdr:colOff>301628</xdr:colOff>
      <xdr:row>117</xdr:row>
      <xdr:rowOff>113813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B49ED9-4F3A-A524-84F5-1AB480331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F3C5-859A-4003-ADF6-D5C70F0EC7FC}">
  <dimension ref="A1:AI347"/>
  <sheetViews>
    <sheetView tabSelected="1" topLeftCell="N1" zoomScale="130" workbookViewId="0">
      <pane ySplit="1" topLeftCell="A90" activePane="bottomLeft" state="frozen"/>
      <selection pane="bottomLeft" activeCell="S111" sqref="S111"/>
    </sheetView>
  </sheetViews>
  <sheetFormatPr baseColWidth="10" defaultRowHeight="15" x14ac:dyDescent="0.25"/>
  <cols>
    <col min="1" max="1" width="10" bestFit="1" customWidth="1"/>
    <col min="2" max="2" width="10.28515625" bestFit="1" customWidth="1"/>
    <col min="3" max="3" width="13.140625" bestFit="1" customWidth="1"/>
    <col min="4" max="4" width="10.140625" bestFit="1" customWidth="1"/>
    <col min="5" max="5" width="19.28515625" bestFit="1" customWidth="1"/>
    <col min="6" max="6" width="3.42578125" bestFit="1" customWidth="1"/>
    <col min="7" max="7" width="6.85546875" bestFit="1" customWidth="1"/>
    <col min="8" max="8" width="12.5703125" bestFit="1" customWidth="1"/>
    <col min="9" max="9" width="13.28515625" bestFit="1" customWidth="1"/>
    <col min="10" max="10" width="13.140625" bestFit="1" customWidth="1"/>
    <col min="12" max="12" width="14.42578125" bestFit="1" customWidth="1"/>
    <col min="13" max="13" width="13.28515625" bestFit="1" customWidth="1"/>
    <col min="14" max="14" width="15.85546875" bestFit="1" customWidth="1"/>
    <col min="15" max="15" width="16.5703125" bestFit="1" customWidth="1"/>
    <col min="16" max="16" width="16.140625" bestFit="1" customWidth="1"/>
    <col min="17" max="17" width="18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16</v>
      </c>
      <c r="M1" t="s">
        <v>17</v>
      </c>
      <c r="N1" t="s">
        <v>20</v>
      </c>
      <c r="O1" t="s">
        <v>18</v>
      </c>
      <c r="P1" t="s">
        <v>19</v>
      </c>
      <c r="Q1" t="s">
        <v>21</v>
      </c>
    </row>
    <row r="2" spans="1:17" hidden="1" x14ac:dyDescent="0.25">
      <c r="A2">
        <v>0.1</v>
      </c>
      <c r="B2">
        <v>0</v>
      </c>
      <c r="C2">
        <v>0</v>
      </c>
      <c r="D2">
        <v>110</v>
      </c>
      <c r="E2" t="s">
        <v>10</v>
      </c>
      <c r="F2">
        <v>0</v>
      </c>
      <c r="G2">
        <v>0</v>
      </c>
      <c r="H2">
        <v>0</v>
      </c>
      <c r="I2">
        <v>0</v>
      </c>
      <c r="J2">
        <v>0</v>
      </c>
      <c r="L2">
        <f t="shared" ref="L2:L65" si="0">$R$103+$R$100</f>
        <v>125.27283040102608</v>
      </c>
      <c r="M2">
        <f t="shared" ref="M2:M65" si="1">$R$103-$R$100</f>
        <v>101.69648466746713</v>
      </c>
    </row>
    <row r="3" spans="1:17" hidden="1" x14ac:dyDescent="0.25">
      <c r="A3">
        <v>0.26</v>
      </c>
      <c r="B3">
        <v>0</v>
      </c>
      <c r="C3">
        <v>0</v>
      </c>
      <c r="D3">
        <v>110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  <c r="L3">
        <f t="shared" si="0"/>
        <v>125.27283040102608</v>
      </c>
      <c r="M3">
        <f t="shared" si="1"/>
        <v>101.69648466746713</v>
      </c>
    </row>
    <row r="4" spans="1:17" hidden="1" x14ac:dyDescent="0.25">
      <c r="A4">
        <v>0.51</v>
      </c>
      <c r="B4">
        <v>0</v>
      </c>
      <c r="C4">
        <v>0</v>
      </c>
      <c r="D4">
        <v>110</v>
      </c>
      <c r="E4" t="s">
        <v>10</v>
      </c>
      <c r="F4">
        <v>0</v>
      </c>
      <c r="G4">
        <v>0</v>
      </c>
      <c r="H4">
        <v>0</v>
      </c>
      <c r="I4">
        <v>0</v>
      </c>
      <c r="J4">
        <v>0</v>
      </c>
      <c r="L4">
        <f t="shared" si="0"/>
        <v>125.27283040102608</v>
      </c>
      <c r="M4">
        <f t="shared" si="1"/>
        <v>101.69648466746713</v>
      </c>
    </row>
    <row r="5" spans="1:17" hidden="1" x14ac:dyDescent="0.25">
      <c r="A5">
        <v>0.76</v>
      </c>
      <c r="B5">
        <v>0</v>
      </c>
      <c r="C5">
        <v>0</v>
      </c>
      <c r="D5">
        <v>110</v>
      </c>
      <c r="E5" t="s">
        <v>10</v>
      </c>
      <c r="F5">
        <v>0</v>
      </c>
      <c r="G5">
        <v>0</v>
      </c>
      <c r="H5">
        <v>0</v>
      </c>
      <c r="I5">
        <v>0</v>
      </c>
      <c r="J5">
        <v>0</v>
      </c>
      <c r="L5">
        <f t="shared" si="0"/>
        <v>125.27283040102608</v>
      </c>
      <c r="M5">
        <f t="shared" si="1"/>
        <v>101.69648466746713</v>
      </c>
    </row>
    <row r="6" spans="1:17" hidden="1" x14ac:dyDescent="0.25">
      <c r="A6">
        <v>1.01</v>
      </c>
      <c r="B6">
        <v>0</v>
      </c>
      <c r="C6">
        <v>0</v>
      </c>
      <c r="D6">
        <v>110</v>
      </c>
      <c r="E6" t="s">
        <v>10</v>
      </c>
      <c r="F6">
        <v>0</v>
      </c>
      <c r="G6">
        <v>0</v>
      </c>
      <c r="H6">
        <v>0</v>
      </c>
      <c r="I6">
        <v>0</v>
      </c>
      <c r="J6">
        <v>0</v>
      </c>
      <c r="L6">
        <f t="shared" si="0"/>
        <v>125.27283040102608</v>
      </c>
      <c r="M6">
        <f t="shared" si="1"/>
        <v>101.69648466746713</v>
      </c>
    </row>
    <row r="7" spans="1:17" hidden="1" x14ac:dyDescent="0.25">
      <c r="A7">
        <v>1.26</v>
      </c>
      <c r="B7">
        <v>0</v>
      </c>
      <c r="C7">
        <v>0</v>
      </c>
      <c r="D7">
        <v>110</v>
      </c>
      <c r="E7" t="s">
        <v>10</v>
      </c>
      <c r="F7">
        <v>0</v>
      </c>
      <c r="G7">
        <v>0</v>
      </c>
      <c r="H7">
        <v>0</v>
      </c>
      <c r="I7">
        <v>0</v>
      </c>
      <c r="J7">
        <v>0</v>
      </c>
      <c r="L7">
        <f t="shared" si="0"/>
        <v>125.27283040102608</v>
      </c>
      <c r="M7">
        <f t="shared" si="1"/>
        <v>101.69648466746713</v>
      </c>
    </row>
    <row r="8" spans="1:17" hidden="1" x14ac:dyDescent="0.25">
      <c r="A8">
        <v>1.52</v>
      </c>
      <c r="B8">
        <v>0</v>
      </c>
      <c r="C8">
        <v>0</v>
      </c>
      <c r="D8">
        <v>110</v>
      </c>
      <c r="E8" t="s">
        <v>10</v>
      </c>
      <c r="F8">
        <v>0</v>
      </c>
      <c r="G8">
        <v>0</v>
      </c>
      <c r="H8">
        <v>0</v>
      </c>
      <c r="I8">
        <v>0</v>
      </c>
      <c r="J8">
        <v>0</v>
      </c>
      <c r="L8">
        <f t="shared" si="0"/>
        <v>125.27283040102608</v>
      </c>
      <c r="M8">
        <f t="shared" si="1"/>
        <v>101.69648466746713</v>
      </c>
    </row>
    <row r="9" spans="1:17" hidden="1" x14ac:dyDescent="0.25">
      <c r="A9">
        <v>1.77</v>
      </c>
      <c r="B9">
        <v>0</v>
      </c>
      <c r="C9">
        <v>0</v>
      </c>
      <c r="D9">
        <v>110</v>
      </c>
      <c r="E9" t="s">
        <v>10</v>
      </c>
      <c r="F9">
        <v>0</v>
      </c>
      <c r="G9">
        <v>0</v>
      </c>
      <c r="H9">
        <v>0</v>
      </c>
      <c r="I9">
        <v>0</v>
      </c>
      <c r="J9">
        <v>0</v>
      </c>
      <c r="L9">
        <f t="shared" si="0"/>
        <v>125.27283040102608</v>
      </c>
      <c r="M9">
        <f t="shared" si="1"/>
        <v>101.69648466746713</v>
      </c>
    </row>
    <row r="10" spans="1:17" hidden="1" x14ac:dyDescent="0.25">
      <c r="A10">
        <v>2.02</v>
      </c>
      <c r="B10">
        <v>0</v>
      </c>
      <c r="C10">
        <v>0</v>
      </c>
      <c r="D10">
        <v>110</v>
      </c>
      <c r="E10" t="s">
        <v>10</v>
      </c>
      <c r="F10">
        <v>0</v>
      </c>
      <c r="G10">
        <v>0</v>
      </c>
      <c r="H10">
        <v>0</v>
      </c>
      <c r="I10">
        <v>0</v>
      </c>
      <c r="J10">
        <v>0</v>
      </c>
      <c r="L10">
        <f t="shared" si="0"/>
        <v>125.27283040102608</v>
      </c>
      <c r="M10">
        <f t="shared" si="1"/>
        <v>101.69648466746713</v>
      </c>
    </row>
    <row r="11" spans="1:17" hidden="1" x14ac:dyDescent="0.25">
      <c r="A11">
        <v>2.27</v>
      </c>
      <c r="B11">
        <v>0</v>
      </c>
      <c r="C11">
        <v>0</v>
      </c>
      <c r="D11">
        <v>110</v>
      </c>
      <c r="E11" t="s">
        <v>10</v>
      </c>
      <c r="F11">
        <v>0</v>
      </c>
      <c r="G11">
        <v>0</v>
      </c>
      <c r="H11">
        <v>0</v>
      </c>
      <c r="I11">
        <v>0</v>
      </c>
      <c r="J11">
        <v>0</v>
      </c>
      <c r="L11">
        <f t="shared" si="0"/>
        <v>125.27283040102608</v>
      </c>
      <c r="M11">
        <f t="shared" si="1"/>
        <v>101.69648466746713</v>
      </c>
    </row>
    <row r="12" spans="1:17" hidden="1" x14ac:dyDescent="0.25">
      <c r="A12">
        <v>2.52</v>
      </c>
      <c r="B12">
        <v>0</v>
      </c>
      <c r="C12">
        <v>0</v>
      </c>
      <c r="D12">
        <v>110</v>
      </c>
      <c r="E12" t="s">
        <v>10</v>
      </c>
      <c r="F12">
        <v>0</v>
      </c>
      <c r="G12">
        <v>0</v>
      </c>
      <c r="H12">
        <v>0</v>
      </c>
      <c r="I12">
        <v>0</v>
      </c>
      <c r="J12">
        <v>0</v>
      </c>
      <c r="L12">
        <f t="shared" si="0"/>
        <v>125.27283040102608</v>
      </c>
      <c r="M12">
        <f t="shared" si="1"/>
        <v>101.69648466746713</v>
      </c>
    </row>
    <row r="13" spans="1:17" hidden="1" x14ac:dyDescent="0.25">
      <c r="A13">
        <v>2.77</v>
      </c>
      <c r="B13">
        <v>0</v>
      </c>
      <c r="C13">
        <v>0</v>
      </c>
      <c r="D13">
        <v>110</v>
      </c>
      <c r="E13" t="s">
        <v>10</v>
      </c>
      <c r="F13">
        <v>0</v>
      </c>
      <c r="G13">
        <v>0</v>
      </c>
      <c r="H13">
        <v>0</v>
      </c>
      <c r="I13">
        <v>0</v>
      </c>
      <c r="J13">
        <v>0</v>
      </c>
      <c r="L13">
        <f t="shared" si="0"/>
        <v>125.27283040102608</v>
      </c>
      <c r="M13">
        <f t="shared" si="1"/>
        <v>101.69648466746713</v>
      </c>
    </row>
    <row r="14" spans="1:17" hidden="1" x14ac:dyDescent="0.25">
      <c r="A14">
        <v>3.03</v>
      </c>
      <c r="B14">
        <v>0</v>
      </c>
      <c r="C14">
        <v>0</v>
      </c>
      <c r="D14">
        <v>110</v>
      </c>
      <c r="E14" t="s">
        <v>10</v>
      </c>
      <c r="F14">
        <v>0</v>
      </c>
      <c r="G14">
        <v>0</v>
      </c>
      <c r="H14">
        <v>0</v>
      </c>
      <c r="I14">
        <v>0</v>
      </c>
      <c r="J14">
        <v>0</v>
      </c>
      <c r="L14">
        <f t="shared" si="0"/>
        <v>125.27283040102608</v>
      </c>
      <c r="M14">
        <f t="shared" si="1"/>
        <v>101.69648466746713</v>
      </c>
    </row>
    <row r="15" spans="1:17" hidden="1" x14ac:dyDescent="0.25">
      <c r="A15">
        <v>3.28</v>
      </c>
      <c r="B15">
        <v>0</v>
      </c>
      <c r="C15">
        <v>0</v>
      </c>
      <c r="D15">
        <v>110</v>
      </c>
      <c r="E15" t="s">
        <v>10</v>
      </c>
      <c r="F15">
        <v>0</v>
      </c>
      <c r="G15">
        <v>0</v>
      </c>
      <c r="H15">
        <v>0</v>
      </c>
      <c r="I15">
        <v>0</v>
      </c>
      <c r="J15">
        <v>0</v>
      </c>
      <c r="L15">
        <f t="shared" si="0"/>
        <v>125.27283040102608</v>
      </c>
      <c r="M15">
        <f t="shared" si="1"/>
        <v>101.69648466746713</v>
      </c>
    </row>
    <row r="16" spans="1:17" hidden="1" x14ac:dyDescent="0.25">
      <c r="A16">
        <v>3.53</v>
      </c>
      <c r="B16">
        <v>0</v>
      </c>
      <c r="C16">
        <v>0</v>
      </c>
      <c r="D16">
        <v>110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v>0</v>
      </c>
      <c r="L16">
        <f t="shared" si="0"/>
        <v>125.27283040102608</v>
      </c>
      <c r="M16">
        <f t="shared" si="1"/>
        <v>101.69648466746713</v>
      </c>
    </row>
    <row r="17" spans="1:13" hidden="1" x14ac:dyDescent="0.25">
      <c r="A17">
        <v>3.78</v>
      </c>
      <c r="B17">
        <v>0</v>
      </c>
      <c r="C17">
        <v>0</v>
      </c>
      <c r="D17">
        <v>110</v>
      </c>
      <c r="E17" t="s">
        <v>10</v>
      </c>
      <c r="F17">
        <v>0</v>
      </c>
      <c r="G17">
        <v>0</v>
      </c>
      <c r="H17">
        <v>0</v>
      </c>
      <c r="I17">
        <v>0</v>
      </c>
      <c r="J17">
        <v>0</v>
      </c>
      <c r="L17">
        <f t="shared" si="0"/>
        <v>125.27283040102608</v>
      </c>
      <c r="M17">
        <f t="shared" si="1"/>
        <v>101.69648466746713</v>
      </c>
    </row>
    <row r="18" spans="1:13" hidden="1" x14ac:dyDescent="0.25">
      <c r="A18">
        <v>4.04</v>
      </c>
      <c r="B18">
        <v>0</v>
      </c>
      <c r="C18">
        <v>0</v>
      </c>
      <c r="D18">
        <v>110</v>
      </c>
      <c r="E18" t="s">
        <v>10</v>
      </c>
      <c r="F18">
        <v>0</v>
      </c>
      <c r="G18">
        <v>0</v>
      </c>
      <c r="H18">
        <v>0</v>
      </c>
      <c r="I18">
        <v>0</v>
      </c>
      <c r="J18">
        <v>0</v>
      </c>
      <c r="L18">
        <f t="shared" si="0"/>
        <v>125.27283040102608</v>
      </c>
      <c r="M18">
        <f t="shared" si="1"/>
        <v>101.69648466746713</v>
      </c>
    </row>
    <row r="19" spans="1:13" hidden="1" x14ac:dyDescent="0.25">
      <c r="A19">
        <v>4.29</v>
      </c>
      <c r="B19">
        <v>0</v>
      </c>
      <c r="C19">
        <v>0</v>
      </c>
      <c r="D19">
        <v>110</v>
      </c>
      <c r="E19" t="s">
        <v>10</v>
      </c>
      <c r="F19">
        <v>0</v>
      </c>
      <c r="G19">
        <v>0</v>
      </c>
      <c r="H19">
        <v>0</v>
      </c>
      <c r="I19">
        <v>0</v>
      </c>
      <c r="J19">
        <v>0</v>
      </c>
      <c r="L19">
        <f t="shared" si="0"/>
        <v>125.27283040102608</v>
      </c>
      <c r="M19">
        <f t="shared" si="1"/>
        <v>101.69648466746713</v>
      </c>
    </row>
    <row r="20" spans="1:13" hidden="1" x14ac:dyDescent="0.25">
      <c r="A20">
        <v>4.54</v>
      </c>
      <c r="B20">
        <v>0</v>
      </c>
      <c r="C20">
        <v>0</v>
      </c>
      <c r="D20">
        <v>110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  <c r="L20">
        <f t="shared" si="0"/>
        <v>125.27283040102608</v>
      </c>
      <c r="M20">
        <f t="shared" si="1"/>
        <v>101.69648466746713</v>
      </c>
    </row>
    <row r="21" spans="1:13" hidden="1" x14ac:dyDescent="0.25">
      <c r="A21">
        <v>4.79</v>
      </c>
      <c r="B21">
        <v>0</v>
      </c>
      <c r="C21">
        <v>0</v>
      </c>
      <c r="D21">
        <v>110</v>
      </c>
      <c r="E21" t="s">
        <v>10</v>
      </c>
      <c r="F21">
        <v>0</v>
      </c>
      <c r="G21">
        <v>0</v>
      </c>
      <c r="H21">
        <v>0</v>
      </c>
      <c r="I21">
        <v>0</v>
      </c>
      <c r="J21">
        <v>0</v>
      </c>
      <c r="L21">
        <f t="shared" si="0"/>
        <v>125.27283040102608</v>
      </c>
      <c r="M21">
        <f t="shared" si="1"/>
        <v>101.69648466746713</v>
      </c>
    </row>
    <row r="22" spans="1:13" hidden="1" x14ac:dyDescent="0.25">
      <c r="A22">
        <v>5.04</v>
      </c>
      <c r="B22">
        <v>0</v>
      </c>
      <c r="C22">
        <v>0</v>
      </c>
      <c r="D22">
        <v>110</v>
      </c>
      <c r="E22" t="s">
        <v>10</v>
      </c>
      <c r="F22">
        <v>0</v>
      </c>
      <c r="G22">
        <v>0</v>
      </c>
      <c r="H22">
        <v>0</v>
      </c>
      <c r="I22">
        <v>0</v>
      </c>
      <c r="J22">
        <v>0</v>
      </c>
      <c r="L22">
        <f t="shared" si="0"/>
        <v>125.27283040102608</v>
      </c>
      <c r="M22">
        <f t="shared" si="1"/>
        <v>101.69648466746713</v>
      </c>
    </row>
    <row r="23" spans="1:13" hidden="1" x14ac:dyDescent="0.25">
      <c r="A23">
        <v>5.29</v>
      </c>
      <c r="B23">
        <v>0</v>
      </c>
      <c r="C23">
        <v>0</v>
      </c>
      <c r="D23">
        <v>110</v>
      </c>
      <c r="E23" t="s">
        <v>10</v>
      </c>
      <c r="F23">
        <v>0</v>
      </c>
      <c r="G23">
        <v>0</v>
      </c>
      <c r="H23">
        <v>0</v>
      </c>
      <c r="I23">
        <v>0</v>
      </c>
      <c r="J23">
        <v>0</v>
      </c>
      <c r="L23">
        <f t="shared" si="0"/>
        <v>125.27283040102608</v>
      </c>
      <c r="M23">
        <f t="shared" si="1"/>
        <v>101.69648466746713</v>
      </c>
    </row>
    <row r="24" spans="1:13" hidden="1" x14ac:dyDescent="0.25">
      <c r="A24">
        <v>5.55</v>
      </c>
      <c r="B24">
        <v>0</v>
      </c>
      <c r="C24">
        <v>0</v>
      </c>
      <c r="D24">
        <v>110</v>
      </c>
      <c r="E24" t="s">
        <v>10</v>
      </c>
      <c r="F24">
        <v>0</v>
      </c>
      <c r="G24">
        <v>0</v>
      </c>
      <c r="H24">
        <v>0</v>
      </c>
      <c r="I24">
        <v>0</v>
      </c>
      <c r="J24">
        <v>0</v>
      </c>
      <c r="L24">
        <f t="shared" si="0"/>
        <v>125.27283040102608</v>
      </c>
      <c r="M24">
        <f t="shared" si="1"/>
        <v>101.69648466746713</v>
      </c>
    </row>
    <row r="25" spans="1:13" hidden="1" x14ac:dyDescent="0.25">
      <c r="A25">
        <v>5.8</v>
      </c>
      <c r="B25">
        <v>0</v>
      </c>
      <c r="C25">
        <v>0</v>
      </c>
      <c r="D25">
        <v>110</v>
      </c>
      <c r="E25" t="s">
        <v>10</v>
      </c>
      <c r="F25">
        <v>0</v>
      </c>
      <c r="G25">
        <v>0</v>
      </c>
      <c r="H25">
        <v>0</v>
      </c>
      <c r="I25">
        <v>0</v>
      </c>
      <c r="J25">
        <v>0</v>
      </c>
      <c r="L25">
        <f t="shared" si="0"/>
        <v>125.27283040102608</v>
      </c>
      <c r="M25">
        <f t="shared" si="1"/>
        <v>101.69648466746713</v>
      </c>
    </row>
    <row r="26" spans="1:13" hidden="1" x14ac:dyDescent="0.25">
      <c r="A26">
        <v>6.05</v>
      </c>
      <c r="B26">
        <v>0</v>
      </c>
      <c r="C26">
        <v>0</v>
      </c>
      <c r="D26">
        <v>110</v>
      </c>
      <c r="E26" t="s">
        <v>10</v>
      </c>
      <c r="F26">
        <v>0</v>
      </c>
      <c r="G26">
        <v>0</v>
      </c>
      <c r="H26">
        <v>0</v>
      </c>
      <c r="I26">
        <v>0</v>
      </c>
      <c r="J26">
        <v>0</v>
      </c>
      <c r="L26">
        <f t="shared" si="0"/>
        <v>125.27283040102608</v>
      </c>
      <c r="M26">
        <f t="shared" si="1"/>
        <v>101.69648466746713</v>
      </c>
    </row>
    <row r="27" spans="1:13" hidden="1" x14ac:dyDescent="0.25">
      <c r="A27">
        <v>6.3</v>
      </c>
      <c r="B27">
        <v>0</v>
      </c>
      <c r="C27">
        <v>0</v>
      </c>
      <c r="D27">
        <v>110</v>
      </c>
      <c r="E27" t="s">
        <v>10</v>
      </c>
      <c r="F27">
        <v>0</v>
      </c>
      <c r="G27">
        <v>0</v>
      </c>
      <c r="H27">
        <v>0</v>
      </c>
      <c r="I27">
        <v>0</v>
      </c>
      <c r="J27">
        <v>0</v>
      </c>
      <c r="L27">
        <f t="shared" si="0"/>
        <v>125.27283040102608</v>
      </c>
      <c r="M27">
        <f t="shared" si="1"/>
        <v>101.69648466746713</v>
      </c>
    </row>
    <row r="28" spans="1:13" hidden="1" x14ac:dyDescent="0.25">
      <c r="A28">
        <v>6.55</v>
      </c>
      <c r="B28">
        <v>0</v>
      </c>
      <c r="C28">
        <v>0</v>
      </c>
      <c r="D28">
        <v>110</v>
      </c>
      <c r="E28" t="s">
        <v>10</v>
      </c>
      <c r="F28">
        <v>0</v>
      </c>
      <c r="G28">
        <v>0</v>
      </c>
      <c r="H28">
        <v>0</v>
      </c>
      <c r="I28">
        <v>0</v>
      </c>
      <c r="J28">
        <v>0</v>
      </c>
      <c r="L28">
        <f t="shared" si="0"/>
        <v>125.27283040102608</v>
      </c>
      <c r="M28">
        <f t="shared" si="1"/>
        <v>101.69648466746713</v>
      </c>
    </row>
    <row r="29" spans="1:13" hidden="1" x14ac:dyDescent="0.25">
      <c r="A29">
        <v>6.8</v>
      </c>
      <c r="B29">
        <v>0</v>
      </c>
      <c r="C29">
        <v>0</v>
      </c>
      <c r="D29">
        <v>110</v>
      </c>
      <c r="E29" t="s">
        <v>10</v>
      </c>
      <c r="F29">
        <v>0</v>
      </c>
      <c r="G29">
        <v>0</v>
      </c>
      <c r="H29">
        <v>0</v>
      </c>
      <c r="I29">
        <v>0</v>
      </c>
      <c r="J29">
        <v>0</v>
      </c>
      <c r="L29">
        <f t="shared" si="0"/>
        <v>125.27283040102608</v>
      </c>
      <c r="M29">
        <f t="shared" si="1"/>
        <v>101.69648466746713</v>
      </c>
    </row>
    <row r="30" spans="1:13" hidden="1" x14ac:dyDescent="0.25">
      <c r="A30">
        <v>7.06</v>
      </c>
      <c r="B30">
        <v>0</v>
      </c>
      <c r="C30">
        <v>0</v>
      </c>
      <c r="D30">
        <v>110</v>
      </c>
      <c r="E30" t="s">
        <v>10</v>
      </c>
      <c r="F30">
        <v>0</v>
      </c>
      <c r="G30">
        <v>0</v>
      </c>
      <c r="H30">
        <v>0</v>
      </c>
      <c r="I30">
        <v>0</v>
      </c>
      <c r="J30">
        <v>0</v>
      </c>
      <c r="L30">
        <f t="shared" si="0"/>
        <v>125.27283040102608</v>
      </c>
      <c r="M30">
        <f t="shared" si="1"/>
        <v>101.69648466746713</v>
      </c>
    </row>
    <row r="31" spans="1:13" hidden="1" x14ac:dyDescent="0.25">
      <c r="A31">
        <v>7.31</v>
      </c>
      <c r="B31">
        <v>0</v>
      </c>
      <c r="C31">
        <v>0</v>
      </c>
      <c r="D31">
        <v>110</v>
      </c>
      <c r="E31" t="s">
        <v>10</v>
      </c>
      <c r="F31">
        <v>0</v>
      </c>
      <c r="G31">
        <v>0</v>
      </c>
      <c r="H31">
        <v>0</v>
      </c>
      <c r="I31">
        <v>0</v>
      </c>
      <c r="J31">
        <v>0</v>
      </c>
      <c r="L31">
        <f t="shared" si="0"/>
        <v>125.27283040102608</v>
      </c>
      <c r="M31">
        <f t="shared" si="1"/>
        <v>101.69648466746713</v>
      </c>
    </row>
    <row r="32" spans="1:13" hidden="1" x14ac:dyDescent="0.25">
      <c r="A32">
        <v>7.57</v>
      </c>
      <c r="B32">
        <v>0</v>
      </c>
      <c r="C32">
        <v>0</v>
      </c>
      <c r="D32">
        <v>110</v>
      </c>
      <c r="E32" t="s">
        <v>10</v>
      </c>
      <c r="F32">
        <v>0</v>
      </c>
      <c r="G32">
        <v>0</v>
      </c>
      <c r="H32">
        <v>0</v>
      </c>
      <c r="I32">
        <v>0</v>
      </c>
      <c r="J32">
        <v>0</v>
      </c>
      <c r="L32">
        <f t="shared" si="0"/>
        <v>125.27283040102608</v>
      </c>
      <c r="M32">
        <f t="shared" si="1"/>
        <v>101.69648466746713</v>
      </c>
    </row>
    <row r="33" spans="1:13" hidden="1" x14ac:dyDescent="0.25">
      <c r="A33">
        <v>7.82</v>
      </c>
      <c r="B33">
        <v>0</v>
      </c>
      <c r="C33">
        <v>0</v>
      </c>
      <c r="D33">
        <v>110</v>
      </c>
      <c r="E33" t="s">
        <v>10</v>
      </c>
      <c r="F33">
        <v>0</v>
      </c>
      <c r="G33">
        <v>0</v>
      </c>
      <c r="H33">
        <v>0</v>
      </c>
      <c r="I33">
        <v>0</v>
      </c>
      <c r="J33">
        <v>0</v>
      </c>
      <c r="L33">
        <f t="shared" si="0"/>
        <v>125.27283040102608</v>
      </c>
      <c r="M33">
        <f t="shared" si="1"/>
        <v>101.69648466746713</v>
      </c>
    </row>
    <row r="34" spans="1:13" hidden="1" x14ac:dyDescent="0.25">
      <c r="A34">
        <v>8.07</v>
      </c>
      <c r="B34">
        <v>0</v>
      </c>
      <c r="C34">
        <v>0</v>
      </c>
      <c r="D34">
        <v>110</v>
      </c>
      <c r="E34" t="s">
        <v>10</v>
      </c>
      <c r="F34">
        <v>0</v>
      </c>
      <c r="G34">
        <v>0</v>
      </c>
      <c r="H34">
        <v>0</v>
      </c>
      <c r="I34">
        <v>0</v>
      </c>
      <c r="J34">
        <v>0</v>
      </c>
      <c r="L34">
        <f t="shared" si="0"/>
        <v>125.27283040102608</v>
      </c>
      <c r="M34">
        <f t="shared" si="1"/>
        <v>101.69648466746713</v>
      </c>
    </row>
    <row r="35" spans="1:13" hidden="1" x14ac:dyDescent="0.25">
      <c r="A35">
        <v>8.32</v>
      </c>
      <c r="B35">
        <v>0</v>
      </c>
      <c r="C35">
        <v>0</v>
      </c>
      <c r="D35">
        <v>110</v>
      </c>
      <c r="E35" t="s">
        <v>10</v>
      </c>
      <c r="F35">
        <v>0</v>
      </c>
      <c r="G35">
        <v>0</v>
      </c>
      <c r="H35">
        <v>0</v>
      </c>
      <c r="I35">
        <v>0</v>
      </c>
      <c r="J35">
        <v>0</v>
      </c>
      <c r="L35">
        <f t="shared" si="0"/>
        <v>125.27283040102608</v>
      </c>
      <c r="M35">
        <f t="shared" si="1"/>
        <v>101.69648466746713</v>
      </c>
    </row>
    <row r="36" spans="1:13" hidden="1" x14ac:dyDescent="0.25">
      <c r="A36">
        <v>8.57</v>
      </c>
      <c r="B36">
        <v>0</v>
      </c>
      <c r="C36">
        <v>0</v>
      </c>
      <c r="D36">
        <v>110</v>
      </c>
      <c r="E36" t="s">
        <v>10</v>
      </c>
      <c r="F36">
        <v>0</v>
      </c>
      <c r="G36">
        <v>0</v>
      </c>
      <c r="H36">
        <v>0</v>
      </c>
      <c r="I36">
        <v>0</v>
      </c>
      <c r="J36">
        <v>0</v>
      </c>
      <c r="L36">
        <f t="shared" si="0"/>
        <v>125.27283040102608</v>
      </c>
      <c r="M36">
        <f t="shared" si="1"/>
        <v>101.69648466746713</v>
      </c>
    </row>
    <row r="37" spans="1:13" hidden="1" x14ac:dyDescent="0.25">
      <c r="A37">
        <v>8.82</v>
      </c>
      <c r="B37">
        <v>0</v>
      </c>
      <c r="C37">
        <v>0</v>
      </c>
      <c r="D37">
        <v>110</v>
      </c>
      <c r="E37" t="s">
        <v>10</v>
      </c>
      <c r="F37">
        <v>0</v>
      </c>
      <c r="G37">
        <v>0</v>
      </c>
      <c r="H37">
        <v>0</v>
      </c>
      <c r="I37">
        <v>0</v>
      </c>
      <c r="J37">
        <v>0</v>
      </c>
      <c r="L37">
        <f t="shared" si="0"/>
        <v>125.27283040102608</v>
      </c>
      <c r="M37">
        <f t="shared" si="1"/>
        <v>101.69648466746713</v>
      </c>
    </row>
    <row r="38" spans="1:13" hidden="1" x14ac:dyDescent="0.25">
      <c r="A38">
        <v>9.08</v>
      </c>
      <c r="B38">
        <v>0</v>
      </c>
      <c r="C38">
        <v>0</v>
      </c>
      <c r="D38">
        <v>110</v>
      </c>
      <c r="E38" t="s">
        <v>10</v>
      </c>
      <c r="F38">
        <v>0</v>
      </c>
      <c r="G38">
        <v>0</v>
      </c>
      <c r="H38">
        <v>0</v>
      </c>
      <c r="I38">
        <v>0</v>
      </c>
      <c r="J38">
        <v>0</v>
      </c>
      <c r="L38">
        <f t="shared" si="0"/>
        <v>125.27283040102608</v>
      </c>
      <c r="M38">
        <f t="shared" si="1"/>
        <v>101.69648466746713</v>
      </c>
    </row>
    <row r="39" spans="1:13" hidden="1" x14ac:dyDescent="0.25">
      <c r="A39">
        <v>9.32</v>
      </c>
      <c r="B39">
        <v>0</v>
      </c>
      <c r="C39">
        <v>0</v>
      </c>
      <c r="D39">
        <v>110</v>
      </c>
      <c r="E39" t="s">
        <v>10</v>
      </c>
      <c r="F39">
        <v>0</v>
      </c>
      <c r="G39">
        <v>0</v>
      </c>
      <c r="H39">
        <v>0</v>
      </c>
      <c r="I39">
        <v>0</v>
      </c>
      <c r="J39">
        <v>0</v>
      </c>
      <c r="L39">
        <f t="shared" si="0"/>
        <v>125.27283040102608</v>
      </c>
      <c r="M39">
        <f t="shared" si="1"/>
        <v>101.69648466746713</v>
      </c>
    </row>
    <row r="40" spans="1:13" hidden="1" x14ac:dyDescent="0.25">
      <c r="A40">
        <v>9.58</v>
      </c>
      <c r="B40">
        <v>0</v>
      </c>
      <c r="C40">
        <v>0</v>
      </c>
      <c r="D40">
        <v>110</v>
      </c>
      <c r="E40" t="s">
        <v>10</v>
      </c>
      <c r="F40">
        <v>0</v>
      </c>
      <c r="G40">
        <v>0</v>
      </c>
      <c r="H40">
        <v>0</v>
      </c>
      <c r="I40">
        <v>0</v>
      </c>
      <c r="J40">
        <v>0</v>
      </c>
      <c r="L40">
        <f t="shared" si="0"/>
        <v>125.27283040102608</v>
      </c>
      <c r="M40">
        <f t="shared" si="1"/>
        <v>101.69648466746713</v>
      </c>
    </row>
    <row r="41" spans="1:13" hidden="1" x14ac:dyDescent="0.25">
      <c r="A41">
        <v>9.68</v>
      </c>
      <c r="B41">
        <v>0</v>
      </c>
      <c r="C41">
        <v>0</v>
      </c>
      <c r="D41">
        <v>114</v>
      </c>
      <c r="E41" t="s">
        <v>10</v>
      </c>
      <c r="F41">
        <v>0</v>
      </c>
      <c r="G41">
        <v>0</v>
      </c>
      <c r="H41">
        <v>0</v>
      </c>
      <c r="I41">
        <v>0</v>
      </c>
      <c r="J41">
        <v>0</v>
      </c>
      <c r="L41">
        <f t="shared" si="0"/>
        <v>125.27283040102608</v>
      </c>
      <c r="M41">
        <f t="shared" si="1"/>
        <v>101.69648466746713</v>
      </c>
    </row>
    <row r="42" spans="1:13" hidden="1" x14ac:dyDescent="0.25">
      <c r="A42">
        <v>9.93</v>
      </c>
      <c r="B42">
        <v>0</v>
      </c>
      <c r="C42">
        <v>0</v>
      </c>
      <c r="D42">
        <v>114</v>
      </c>
      <c r="E42" t="s">
        <v>10</v>
      </c>
      <c r="F42">
        <v>0</v>
      </c>
      <c r="G42">
        <v>0</v>
      </c>
      <c r="H42">
        <v>0</v>
      </c>
      <c r="I42">
        <v>0</v>
      </c>
      <c r="J42">
        <v>0</v>
      </c>
      <c r="L42">
        <f t="shared" si="0"/>
        <v>125.27283040102608</v>
      </c>
      <c r="M42">
        <f t="shared" si="1"/>
        <v>101.69648466746713</v>
      </c>
    </row>
    <row r="43" spans="1:13" hidden="1" x14ac:dyDescent="0.25">
      <c r="A43">
        <v>10.18</v>
      </c>
      <c r="B43">
        <v>0</v>
      </c>
      <c r="C43">
        <v>0</v>
      </c>
      <c r="D43">
        <v>114</v>
      </c>
      <c r="E43" t="s">
        <v>10</v>
      </c>
      <c r="F43">
        <v>0</v>
      </c>
      <c r="G43">
        <v>0</v>
      </c>
      <c r="H43">
        <v>0</v>
      </c>
      <c r="I43">
        <v>0</v>
      </c>
      <c r="J43">
        <v>0</v>
      </c>
      <c r="L43">
        <f t="shared" si="0"/>
        <v>125.27283040102608</v>
      </c>
      <c r="M43">
        <f t="shared" si="1"/>
        <v>101.69648466746713</v>
      </c>
    </row>
    <row r="44" spans="1:13" hidden="1" x14ac:dyDescent="0.25">
      <c r="A44">
        <v>10.43</v>
      </c>
      <c r="B44">
        <v>0</v>
      </c>
      <c r="C44">
        <v>0</v>
      </c>
      <c r="D44">
        <v>114</v>
      </c>
      <c r="E44" t="s">
        <v>10</v>
      </c>
      <c r="F44">
        <v>0</v>
      </c>
      <c r="G44">
        <v>0</v>
      </c>
      <c r="H44">
        <v>0</v>
      </c>
      <c r="I44">
        <v>0</v>
      </c>
      <c r="J44">
        <v>0</v>
      </c>
      <c r="L44">
        <f t="shared" si="0"/>
        <v>125.27283040102608</v>
      </c>
      <c r="M44">
        <f t="shared" si="1"/>
        <v>101.69648466746713</v>
      </c>
    </row>
    <row r="45" spans="1:13" hidden="1" x14ac:dyDescent="0.25">
      <c r="A45">
        <v>10.69</v>
      </c>
      <c r="B45">
        <v>0</v>
      </c>
      <c r="C45">
        <v>0</v>
      </c>
      <c r="D45">
        <v>114</v>
      </c>
      <c r="E45" t="s">
        <v>10</v>
      </c>
      <c r="F45">
        <v>0</v>
      </c>
      <c r="G45">
        <v>0</v>
      </c>
      <c r="H45">
        <v>0</v>
      </c>
      <c r="I45">
        <v>0</v>
      </c>
      <c r="J45">
        <v>0</v>
      </c>
      <c r="L45">
        <f t="shared" si="0"/>
        <v>125.27283040102608</v>
      </c>
      <c r="M45">
        <f t="shared" si="1"/>
        <v>101.69648466746713</v>
      </c>
    </row>
    <row r="46" spans="1:13" hidden="1" x14ac:dyDescent="0.25">
      <c r="A46">
        <v>10.94</v>
      </c>
      <c r="B46">
        <v>0</v>
      </c>
      <c r="C46">
        <v>0</v>
      </c>
      <c r="D46">
        <v>114</v>
      </c>
      <c r="E46" t="s">
        <v>10</v>
      </c>
      <c r="F46">
        <v>0</v>
      </c>
      <c r="G46">
        <v>0</v>
      </c>
      <c r="H46">
        <v>0</v>
      </c>
      <c r="I46">
        <v>0</v>
      </c>
      <c r="J46">
        <v>0</v>
      </c>
      <c r="L46">
        <f t="shared" si="0"/>
        <v>125.27283040102608</v>
      </c>
      <c r="M46">
        <f t="shared" si="1"/>
        <v>101.69648466746713</v>
      </c>
    </row>
    <row r="47" spans="1:13" hidden="1" x14ac:dyDescent="0.25">
      <c r="A47">
        <v>11.19</v>
      </c>
      <c r="B47">
        <v>0</v>
      </c>
      <c r="C47">
        <v>0</v>
      </c>
      <c r="D47">
        <v>114</v>
      </c>
      <c r="E47" t="s">
        <v>10</v>
      </c>
      <c r="F47">
        <v>0</v>
      </c>
      <c r="G47">
        <v>0</v>
      </c>
      <c r="H47">
        <v>0</v>
      </c>
      <c r="I47">
        <v>0</v>
      </c>
      <c r="J47">
        <v>0</v>
      </c>
      <c r="L47">
        <f t="shared" si="0"/>
        <v>125.27283040102608</v>
      </c>
      <c r="M47">
        <f t="shared" si="1"/>
        <v>101.69648466746713</v>
      </c>
    </row>
    <row r="48" spans="1:13" hidden="1" x14ac:dyDescent="0.25">
      <c r="A48">
        <v>11.44</v>
      </c>
      <c r="B48">
        <v>0</v>
      </c>
      <c r="C48">
        <v>0</v>
      </c>
      <c r="D48">
        <v>114</v>
      </c>
      <c r="E48" t="s">
        <v>10</v>
      </c>
      <c r="F48">
        <v>0</v>
      </c>
      <c r="G48">
        <v>0</v>
      </c>
      <c r="H48">
        <v>0</v>
      </c>
      <c r="I48">
        <v>0</v>
      </c>
      <c r="J48">
        <v>0</v>
      </c>
      <c r="L48">
        <f t="shared" si="0"/>
        <v>125.27283040102608</v>
      </c>
      <c r="M48">
        <f t="shared" si="1"/>
        <v>101.69648466746713</v>
      </c>
    </row>
    <row r="49" spans="1:13" hidden="1" x14ac:dyDescent="0.25">
      <c r="A49">
        <v>11.69</v>
      </c>
      <c r="B49">
        <v>0</v>
      </c>
      <c r="C49">
        <v>0</v>
      </c>
      <c r="D49">
        <v>114</v>
      </c>
      <c r="E49" t="s">
        <v>10</v>
      </c>
      <c r="F49">
        <v>0</v>
      </c>
      <c r="G49">
        <v>0</v>
      </c>
      <c r="H49">
        <v>0</v>
      </c>
      <c r="I49">
        <v>0</v>
      </c>
      <c r="J49">
        <v>0</v>
      </c>
      <c r="L49">
        <f t="shared" si="0"/>
        <v>125.27283040102608</v>
      </c>
      <c r="M49">
        <f t="shared" si="1"/>
        <v>101.69648466746713</v>
      </c>
    </row>
    <row r="50" spans="1:13" hidden="1" x14ac:dyDescent="0.25">
      <c r="A50">
        <v>11.95</v>
      </c>
      <c r="B50">
        <v>0</v>
      </c>
      <c r="C50">
        <v>0</v>
      </c>
      <c r="D50">
        <v>114</v>
      </c>
      <c r="E50" t="s">
        <v>10</v>
      </c>
      <c r="F50">
        <v>0</v>
      </c>
      <c r="G50">
        <v>0</v>
      </c>
      <c r="H50">
        <v>0</v>
      </c>
      <c r="I50">
        <v>0</v>
      </c>
      <c r="J50">
        <v>0</v>
      </c>
      <c r="L50">
        <f t="shared" si="0"/>
        <v>125.27283040102608</v>
      </c>
      <c r="M50">
        <f t="shared" si="1"/>
        <v>101.69648466746713</v>
      </c>
    </row>
    <row r="51" spans="1:13" hidden="1" x14ac:dyDescent="0.25">
      <c r="A51">
        <v>12.2</v>
      </c>
      <c r="B51">
        <v>0</v>
      </c>
      <c r="C51">
        <v>0</v>
      </c>
      <c r="D51">
        <v>114</v>
      </c>
      <c r="E51" t="s">
        <v>10</v>
      </c>
      <c r="F51">
        <v>0</v>
      </c>
      <c r="G51">
        <v>0</v>
      </c>
      <c r="H51">
        <v>0</v>
      </c>
      <c r="I51">
        <v>0</v>
      </c>
      <c r="J51">
        <v>0</v>
      </c>
      <c r="L51">
        <f t="shared" si="0"/>
        <v>125.27283040102608</v>
      </c>
      <c r="M51">
        <f t="shared" si="1"/>
        <v>101.69648466746713</v>
      </c>
    </row>
    <row r="52" spans="1:13" hidden="1" x14ac:dyDescent="0.25">
      <c r="A52">
        <v>12.45</v>
      </c>
      <c r="B52">
        <v>0</v>
      </c>
      <c r="C52">
        <v>0</v>
      </c>
      <c r="D52">
        <v>114</v>
      </c>
      <c r="E52" t="s">
        <v>10</v>
      </c>
      <c r="F52">
        <v>0</v>
      </c>
      <c r="G52">
        <v>0</v>
      </c>
      <c r="H52">
        <v>0</v>
      </c>
      <c r="I52">
        <v>0</v>
      </c>
      <c r="J52">
        <v>0</v>
      </c>
      <c r="L52">
        <f t="shared" si="0"/>
        <v>125.27283040102608</v>
      </c>
      <c r="M52">
        <f t="shared" si="1"/>
        <v>101.69648466746713</v>
      </c>
    </row>
    <row r="53" spans="1:13" hidden="1" x14ac:dyDescent="0.25">
      <c r="A53">
        <v>12.7</v>
      </c>
      <c r="B53">
        <v>0</v>
      </c>
      <c r="C53">
        <v>0</v>
      </c>
      <c r="D53">
        <v>114</v>
      </c>
      <c r="E53" t="s">
        <v>10</v>
      </c>
      <c r="F53">
        <v>0</v>
      </c>
      <c r="G53">
        <v>0</v>
      </c>
      <c r="H53">
        <v>0</v>
      </c>
      <c r="I53">
        <v>0</v>
      </c>
      <c r="J53">
        <v>0</v>
      </c>
      <c r="L53">
        <f t="shared" si="0"/>
        <v>125.27283040102608</v>
      </c>
      <c r="M53">
        <f t="shared" si="1"/>
        <v>101.69648466746713</v>
      </c>
    </row>
    <row r="54" spans="1:13" hidden="1" x14ac:dyDescent="0.25">
      <c r="A54">
        <v>12.96</v>
      </c>
      <c r="B54">
        <v>0</v>
      </c>
      <c r="C54">
        <v>0</v>
      </c>
      <c r="D54">
        <v>114</v>
      </c>
      <c r="E54" t="s">
        <v>10</v>
      </c>
      <c r="F54">
        <v>0</v>
      </c>
      <c r="G54">
        <v>0</v>
      </c>
      <c r="H54">
        <v>0</v>
      </c>
      <c r="I54">
        <v>0</v>
      </c>
      <c r="J54">
        <v>0</v>
      </c>
      <c r="L54">
        <f t="shared" si="0"/>
        <v>125.27283040102608</v>
      </c>
      <c r="M54">
        <f t="shared" si="1"/>
        <v>101.69648466746713</v>
      </c>
    </row>
    <row r="55" spans="1:13" hidden="1" x14ac:dyDescent="0.25">
      <c r="A55">
        <v>13.21</v>
      </c>
      <c r="B55">
        <v>0</v>
      </c>
      <c r="C55">
        <v>0</v>
      </c>
      <c r="D55">
        <v>114</v>
      </c>
      <c r="E55" t="s">
        <v>10</v>
      </c>
      <c r="F55">
        <v>0</v>
      </c>
      <c r="G55">
        <v>0</v>
      </c>
      <c r="H55">
        <v>0</v>
      </c>
      <c r="I55">
        <v>0</v>
      </c>
      <c r="J55">
        <v>0</v>
      </c>
      <c r="L55">
        <f t="shared" si="0"/>
        <v>125.27283040102608</v>
      </c>
      <c r="M55">
        <f t="shared" si="1"/>
        <v>101.69648466746713</v>
      </c>
    </row>
    <row r="56" spans="1:13" hidden="1" x14ac:dyDescent="0.25">
      <c r="A56">
        <v>13.46</v>
      </c>
      <c r="B56">
        <v>0</v>
      </c>
      <c r="C56">
        <v>0</v>
      </c>
      <c r="D56">
        <v>114</v>
      </c>
      <c r="E56" t="s">
        <v>10</v>
      </c>
      <c r="F56">
        <v>0</v>
      </c>
      <c r="G56">
        <v>0</v>
      </c>
      <c r="H56">
        <v>0</v>
      </c>
      <c r="I56">
        <v>0</v>
      </c>
      <c r="J56">
        <v>0</v>
      </c>
      <c r="L56">
        <f t="shared" si="0"/>
        <v>125.27283040102608</v>
      </c>
      <c r="M56">
        <f t="shared" si="1"/>
        <v>101.69648466746713</v>
      </c>
    </row>
    <row r="57" spans="1:13" hidden="1" x14ac:dyDescent="0.25">
      <c r="A57">
        <v>13.71</v>
      </c>
      <c r="B57">
        <v>0</v>
      </c>
      <c r="C57">
        <v>0</v>
      </c>
      <c r="D57">
        <v>114</v>
      </c>
      <c r="E57" t="s">
        <v>10</v>
      </c>
      <c r="F57">
        <v>0</v>
      </c>
      <c r="G57">
        <v>0</v>
      </c>
      <c r="H57">
        <v>0</v>
      </c>
      <c r="I57">
        <v>0</v>
      </c>
      <c r="J57">
        <v>0</v>
      </c>
      <c r="L57">
        <f t="shared" si="0"/>
        <v>125.27283040102608</v>
      </c>
      <c r="M57">
        <f t="shared" si="1"/>
        <v>101.69648466746713</v>
      </c>
    </row>
    <row r="58" spans="1:13" hidden="1" x14ac:dyDescent="0.25">
      <c r="A58">
        <v>13.96</v>
      </c>
      <c r="B58">
        <v>0</v>
      </c>
      <c r="C58">
        <v>0</v>
      </c>
      <c r="D58">
        <v>114</v>
      </c>
      <c r="E58" t="s">
        <v>10</v>
      </c>
      <c r="F58">
        <v>0</v>
      </c>
      <c r="G58">
        <v>0</v>
      </c>
      <c r="H58">
        <v>0</v>
      </c>
      <c r="I58">
        <v>0</v>
      </c>
      <c r="J58">
        <v>0</v>
      </c>
      <c r="L58">
        <f t="shared" si="0"/>
        <v>125.27283040102608</v>
      </c>
      <c r="M58">
        <f t="shared" si="1"/>
        <v>101.69648466746713</v>
      </c>
    </row>
    <row r="59" spans="1:13" hidden="1" x14ac:dyDescent="0.25">
      <c r="A59">
        <v>14.22</v>
      </c>
      <c r="B59">
        <v>0</v>
      </c>
      <c r="C59">
        <v>0</v>
      </c>
      <c r="D59">
        <v>114</v>
      </c>
      <c r="E59" t="s">
        <v>10</v>
      </c>
      <c r="F59">
        <v>0</v>
      </c>
      <c r="G59">
        <v>0</v>
      </c>
      <c r="H59">
        <v>0</v>
      </c>
      <c r="I59">
        <v>0</v>
      </c>
      <c r="J59">
        <v>0</v>
      </c>
      <c r="L59">
        <f t="shared" si="0"/>
        <v>125.27283040102608</v>
      </c>
      <c r="M59">
        <f t="shared" si="1"/>
        <v>101.69648466746713</v>
      </c>
    </row>
    <row r="60" spans="1:13" hidden="1" x14ac:dyDescent="0.25">
      <c r="A60">
        <v>14.47</v>
      </c>
      <c r="B60">
        <v>0</v>
      </c>
      <c r="C60">
        <v>0</v>
      </c>
      <c r="D60">
        <v>114</v>
      </c>
      <c r="E60" t="s">
        <v>10</v>
      </c>
      <c r="F60">
        <v>0</v>
      </c>
      <c r="G60">
        <v>0</v>
      </c>
      <c r="H60">
        <v>0</v>
      </c>
      <c r="I60">
        <v>0</v>
      </c>
      <c r="J60">
        <v>0</v>
      </c>
      <c r="L60">
        <f t="shared" si="0"/>
        <v>125.27283040102608</v>
      </c>
      <c r="M60">
        <f t="shared" si="1"/>
        <v>101.69648466746713</v>
      </c>
    </row>
    <row r="61" spans="1:13" hidden="1" x14ac:dyDescent="0.25">
      <c r="A61">
        <v>14.72</v>
      </c>
      <c r="B61">
        <v>0</v>
      </c>
      <c r="C61">
        <v>0</v>
      </c>
      <c r="D61">
        <v>114</v>
      </c>
      <c r="E61" t="s">
        <v>10</v>
      </c>
      <c r="F61">
        <v>0</v>
      </c>
      <c r="G61">
        <v>0</v>
      </c>
      <c r="H61">
        <v>0</v>
      </c>
      <c r="I61">
        <v>0</v>
      </c>
      <c r="J61">
        <v>0</v>
      </c>
      <c r="L61">
        <f t="shared" si="0"/>
        <v>125.27283040102608</v>
      </c>
      <c r="M61">
        <f t="shared" si="1"/>
        <v>101.69648466746713</v>
      </c>
    </row>
    <row r="62" spans="1:13" hidden="1" x14ac:dyDescent="0.25">
      <c r="A62">
        <v>14.91</v>
      </c>
      <c r="B62">
        <v>133.96</v>
      </c>
      <c r="C62">
        <v>21.1</v>
      </c>
      <c r="D62">
        <v>114</v>
      </c>
      <c r="E62" t="s">
        <v>11</v>
      </c>
      <c r="F62">
        <v>1</v>
      </c>
      <c r="G62">
        <v>0</v>
      </c>
      <c r="H62">
        <v>1</v>
      </c>
      <c r="I62">
        <v>0</v>
      </c>
      <c r="J62">
        <v>0</v>
      </c>
      <c r="L62">
        <f t="shared" si="0"/>
        <v>125.27283040102608</v>
      </c>
      <c r="M62">
        <f t="shared" si="1"/>
        <v>101.69648466746713</v>
      </c>
    </row>
    <row r="63" spans="1:13" hidden="1" x14ac:dyDescent="0.25">
      <c r="A63">
        <v>14.92</v>
      </c>
      <c r="B63">
        <v>133.96</v>
      </c>
      <c r="C63">
        <v>24.4</v>
      </c>
      <c r="D63">
        <v>114</v>
      </c>
      <c r="E63" t="s">
        <v>11</v>
      </c>
      <c r="F63">
        <v>1</v>
      </c>
      <c r="G63">
        <v>0</v>
      </c>
      <c r="H63">
        <v>1</v>
      </c>
      <c r="I63">
        <v>0</v>
      </c>
      <c r="J63">
        <v>0</v>
      </c>
      <c r="L63">
        <f t="shared" si="0"/>
        <v>125.27283040102608</v>
      </c>
      <c r="M63">
        <f t="shared" si="1"/>
        <v>101.69648466746713</v>
      </c>
    </row>
    <row r="64" spans="1:13" hidden="1" x14ac:dyDescent="0.25">
      <c r="A64">
        <v>15.17</v>
      </c>
      <c r="B64">
        <v>106.1</v>
      </c>
      <c r="C64">
        <v>61.4</v>
      </c>
      <c r="D64">
        <v>114</v>
      </c>
      <c r="E64" t="s">
        <v>11</v>
      </c>
      <c r="F64">
        <v>1</v>
      </c>
      <c r="G64">
        <v>0</v>
      </c>
      <c r="H64">
        <v>1</v>
      </c>
      <c r="I64">
        <v>0</v>
      </c>
      <c r="J64">
        <v>0</v>
      </c>
      <c r="L64">
        <f t="shared" si="0"/>
        <v>125.27283040102608</v>
      </c>
      <c r="M64">
        <f t="shared" si="1"/>
        <v>101.69648466746713</v>
      </c>
    </row>
    <row r="65" spans="1:13" hidden="1" x14ac:dyDescent="0.25">
      <c r="A65">
        <v>15.43</v>
      </c>
      <c r="B65">
        <v>117.65</v>
      </c>
      <c r="C65">
        <v>81.400000000000006</v>
      </c>
      <c r="D65">
        <v>114</v>
      </c>
      <c r="E65" t="s">
        <v>11</v>
      </c>
      <c r="F65">
        <v>1</v>
      </c>
      <c r="G65">
        <v>0</v>
      </c>
      <c r="H65">
        <v>1</v>
      </c>
      <c r="I65">
        <v>0</v>
      </c>
      <c r="J65">
        <v>0</v>
      </c>
      <c r="L65">
        <f t="shared" si="0"/>
        <v>125.27283040102608</v>
      </c>
      <c r="M65">
        <f t="shared" si="1"/>
        <v>101.69648466746713</v>
      </c>
    </row>
    <row r="66" spans="1:13" hidden="1" x14ac:dyDescent="0.25">
      <c r="A66">
        <v>15.68</v>
      </c>
      <c r="B66">
        <v>122.96</v>
      </c>
      <c r="C66">
        <v>98.4</v>
      </c>
      <c r="D66">
        <v>114</v>
      </c>
      <c r="E66" t="s">
        <v>11</v>
      </c>
      <c r="F66">
        <v>1</v>
      </c>
      <c r="G66">
        <v>0</v>
      </c>
      <c r="H66">
        <v>1</v>
      </c>
      <c r="I66">
        <v>0</v>
      </c>
      <c r="J66">
        <v>0</v>
      </c>
      <c r="L66">
        <f t="shared" ref="L66:L129" si="2">$R$103+$R$100</f>
        <v>125.27283040102608</v>
      </c>
      <c r="M66">
        <f t="shared" ref="M66:M129" si="3">$R$103-$R$100</f>
        <v>101.69648466746713</v>
      </c>
    </row>
    <row r="67" spans="1:13" hidden="1" x14ac:dyDescent="0.25">
      <c r="A67">
        <v>15.93</v>
      </c>
      <c r="B67">
        <v>111.11</v>
      </c>
      <c r="C67">
        <v>106.1</v>
      </c>
      <c r="D67">
        <v>114</v>
      </c>
      <c r="E67" t="s">
        <v>11</v>
      </c>
      <c r="F67">
        <v>1</v>
      </c>
      <c r="G67">
        <v>0</v>
      </c>
      <c r="H67">
        <v>1</v>
      </c>
      <c r="I67">
        <v>0</v>
      </c>
      <c r="J67">
        <v>0</v>
      </c>
      <c r="L67">
        <f t="shared" si="2"/>
        <v>125.27283040102608</v>
      </c>
      <c r="M67">
        <f t="shared" si="3"/>
        <v>101.69648466746713</v>
      </c>
    </row>
    <row r="68" spans="1:13" hidden="1" x14ac:dyDescent="0.25">
      <c r="A68">
        <v>16.18</v>
      </c>
      <c r="B68">
        <v>135.59</v>
      </c>
      <c r="C68">
        <v>106.5</v>
      </c>
      <c r="D68">
        <v>114</v>
      </c>
      <c r="E68" t="s">
        <v>11</v>
      </c>
      <c r="F68">
        <v>1</v>
      </c>
      <c r="G68">
        <v>0</v>
      </c>
      <c r="H68">
        <v>1</v>
      </c>
      <c r="I68">
        <v>0</v>
      </c>
      <c r="J68">
        <v>0</v>
      </c>
      <c r="L68">
        <f t="shared" si="2"/>
        <v>125.27283040102608</v>
      </c>
      <c r="M68">
        <f t="shared" si="3"/>
        <v>101.69648466746713</v>
      </c>
    </row>
    <row r="69" spans="1:13" hidden="1" x14ac:dyDescent="0.25">
      <c r="A69">
        <v>16.440000000000001</v>
      </c>
      <c r="B69">
        <v>120.95</v>
      </c>
      <c r="C69">
        <v>112.7</v>
      </c>
      <c r="D69">
        <v>114</v>
      </c>
      <c r="E69" t="s">
        <v>12</v>
      </c>
      <c r="F69">
        <v>0</v>
      </c>
      <c r="G69">
        <v>0</v>
      </c>
      <c r="H69">
        <v>1</v>
      </c>
      <c r="I69">
        <v>0</v>
      </c>
      <c r="J69">
        <v>0</v>
      </c>
      <c r="L69">
        <f t="shared" si="2"/>
        <v>125.27283040102608</v>
      </c>
      <c r="M69">
        <f t="shared" si="3"/>
        <v>101.69648466746713</v>
      </c>
    </row>
    <row r="70" spans="1:13" hidden="1" x14ac:dyDescent="0.25">
      <c r="A70">
        <v>16.690000000000001</v>
      </c>
      <c r="B70">
        <v>113.26</v>
      </c>
      <c r="C70">
        <v>111.1</v>
      </c>
      <c r="D70">
        <v>114</v>
      </c>
      <c r="E70" t="s">
        <v>12</v>
      </c>
      <c r="F70">
        <v>0</v>
      </c>
      <c r="G70">
        <v>0</v>
      </c>
      <c r="H70">
        <v>1</v>
      </c>
      <c r="I70">
        <v>0</v>
      </c>
      <c r="J70">
        <v>0</v>
      </c>
      <c r="L70">
        <f t="shared" si="2"/>
        <v>125.27283040102608</v>
      </c>
      <c r="M70">
        <f t="shared" si="3"/>
        <v>101.69648466746713</v>
      </c>
    </row>
    <row r="71" spans="1:13" hidden="1" x14ac:dyDescent="0.25">
      <c r="A71">
        <v>16.940000000000001</v>
      </c>
      <c r="B71">
        <v>118.72</v>
      </c>
      <c r="C71">
        <v>115.7</v>
      </c>
      <c r="D71">
        <v>114</v>
      </c>
      <c r="E71" t="s">
        <v>12</v>
      </c>
      <c r="F71">
        <v>0</v>
      </c>
      <c r="G71">
        <v>0</v>
      </c>
      <c r="H71">
        <v>1</v>
      </c>
      <c r="I71">
        <v>0</v>
      </c>
      <c r="J71">
        <v>0</v>
      </c>
      <c r="L71">
        <f t="shared" si="2"/>
        <v>125.27283040102608</v>
      </c>
      <c r="M71">
        <f t="shared" si="3"/>
        <v>101.69648466746713</v>
      </c>
    </row>
    <row r="72" spans="1:13" hidden="1" x14ac:dyDescent="0.25">
      <c r="A72">
        <v>17.190000000000001</v>
      </c>
      <c r="B72">
        <v>108.3</v>
      </c>
      <c r="C72">
        <v>116.3</v>
      </c>
      <c r="D72">
        <v>114</v>
      </c>
      <c r="E72" t="s">
        <v>13</v>
      </c>
      <c r="F72">
        <v>0</v>
      </c>
      <c r="G72">
        <v>1</v>
      </c>
      <c r="H72">
        <v>1</v>
      </c>
      <c r="I72">
        <v>0</v>
      </c>
      <c r="J72">
        <v>0</v>
      </c>
      <c r="L72">
        <f t="shared" si="2"/>
        <v>125.27283040102608</v>
      </c>
      <c r="M72">
        <f t="shared" si="3"/>
        <v>101.69648466746713</v>
      </c>
    </row>
    <row r="73" spans="1:13" hidden="1" x14ac:dyDescent="0.25">
      <c r="A73">
        <v>17.45</v>
      </c>
      <c r="B73">
        <v>117.95</v>
      </c>
      <c r="C73">
        <v>110.9</v>
      </c>
      <c r="D73">
        <v>114</v>
      </c>
      <c r="E73" t="s">
        <v>12</v>
      </c>
      <c r="F73">
        <v>0</v>
      </c>
      <c r="G73">
        <v>0</v>
      </c>
      <c r="H73">
        <v>1</v>
      </c>
      <c r="I73">
        <v>0</v>
      </c>
      <c r="J73">
        <v>0</v>
      </c>
      <c r="L73">
        <f t="shared" si="2"/>
        <v>125.27283040102608</v>
      </c>
      <c r="M73">
        <f t="shared" si="3"/>
        <v>101.69648466746713</v>
      </c>
    </row>
    <row r="74" spans="1:13" hidden="1" x14ac:dyDescent="0.25">
      <c r="A74">
        <v>17.71</v>
      </c>
      <c r="B74">
        <v>123.78</v>
      </c>
      <c r="C74">
        <v>113.8</v>
      </c>
      <c r="D74">
        <v>114</v>
      </c>
      <c r="E74" t="s">
        <v>12</v>
      </c>
      <c r="F74">
        <v>0</v>
      </c>
      <c r="G74">
        <v>0</v>
      </c>
      <c r="H74">
        <v>1</v>
      </c>
      <c r="I74">
        <v>0</v>
      </c>
      <c r="J74">
        <v>0</v>
      </c>
      <c r="L74">
        <f t="shared" si="2"/>
        <v>125.27283040102608</v>
      </c>
      <c r="M74">
        <f t="shared" si="3"/>
        <v>101.69648466746713</v>
      </c>
    </row>
    <row r="75" spans="1:13" hidden="1" x14ac:dyDescent="0.25">
      <c r="A75">
        <v>17.96</v>
      </c>
      <c r="B75">
        <v>97.53</v>
      </c>
      <c r="C75">
        <v>109.5</v>
      </c>
      <c r="D75">
        <v>114</v>
      </c>
      <c r="E75" t="s">
        <v>12</v>
      </c>
      <c r="F75">
        <v>0</v>
      </c>
      <c r="G75">
        <v>0</v>
      </c>
      <c r="H75">
        <v>1</v>
      </c>
      <c r="I75">
        <v>0</v>
      </c>
      <c r="J75">
        <v>0</v>
      </c>
      <c r="L75">
        <f t="shared" si="2"/>
        <v>125.27283040102608</v>
      </c>
      <c r="M75">
        <f t="shared" si="3"/>
        <v>101.69648466746713</v>
      </c>
    </row>
    <row r="76" spans="1:13" hidden="1" x14ac:dyDescent="0.25">
      <c r="A76">
        <v>18.2</v>
      </c>
      <c r="B76">
        <v>135.36000000000001</v>
      </c>
      <c r="C76">
        <v>111.5</v>
      </c>
      <c r="D76">
        <v>114</v>
      </c>
      <c r="E76" t="s">
        <v>11</v>
      </c>
      <c r="F76">
        <v>1</v>
      </c>
      <c r="G76">
        <v>0</v>
      </c>
      <c r="H76">
        <v>1</v>
      </c>
      <c r="I76">
        <v>0</v>
      </c>
      <c r="J76">
        <v>0</v>
      </c>
      <c r="L76">
        <f t="shared" si="2"/>
        <v>125.27283040102608</v>
      </c>
      <c r="M76">
        <f t="shared" si="3"/>
        <v>101.69648466746713</v>
      </c>
    </row>
    <row r="77" spans="1:13" hidden="1" x14ac:dyDescent="0.25">
      <c r="A77">
        <v>18.46</v>
      </c>
      <c r="B77">
        <v>96.2</v>
      </c>
      <c r="C77">
        <v>113.4</v>
      </c>
      <c r="D77">
        <v>114</v>
      </c>
      <c r="E77" t="s">
        <v>12</v>
      </c>
      <c r="F77">
        <v>0</v>
      </c>
      <c r="G77">
        <v>0</v>
      </c>
      <c r="H77">
        <v>1</v>
      </c>
      <c r="I77">
        <v>0</v>
      </c>
      <c r="J77">
        <v>0</v>
      </c>
      <c r="L77">
        <f t="shared" si="2"/>
        <v>125.27283040102608</v>
      </c>
      <c r="M77">
        <f t="shared" si="3"/>
        <v>101.69648466746713</v>
      </c>
    </row>
    <row r="78" spans="1:13" hidden="1" x14ac:dyDescent="0.25">
      <c r="A78">
        <v>18.71</v>
      </c>
      <c r="B78">
        <v>111.22</v>
      </c>
      <c r="C78">
        <v>111.8</v>
      </c>
      <c r="D78">
        <v>114</v>
      </c>
      <c r="E78" t="s">
        <v>12</v>
      </c>
      <c r="F78">
        <v>0</v>
      </c>
      <c r="G78">
        <v>0</v>
      </c>
      <c r="H78">
        <v>1</v>
      </c>
      <c r="I78">
        <v>0</v>
      </c>
      <c r="J78">
        <v>0</v>
      </c>
      <c r="L78">
        <f t="shared" si="2"/>
        <v>125.27283040102608</v>
      </c>
      <c r="M78">
        <f t="shared" si="3"/>
        <v>101.69648466746713</v>
      </c>
    </row>
    <row r="79" spans="1:13" hidden="1" x14ac:dyDescent="0.25">
      <c r="A79">
        <v>18.96</v>
      </c>
      <c r="B79">
        <v>120.52</v>
      </c>
      <c r="C79">
        <v>114.1</v>
      </c>
      <c r="D79">
        <v>114</v>
      </c>
      <c r="E79" t="s">
        <v>12</v>
      </c>
      <c r="F79">
        <v>0</v>
      </c>
      <c r="G79">
        <v>0</v>
      </c>
      <c r="H79">
        <v>1</v>
      </c>
      <c r="I79">
        <v>0</v>
      </c>
      <c r="J79">
        <v>0</v>
      </c>
      <c r="L79">
        <f t="shared" si="2"/>
        <v>125.27283040102608</v>
      </c>
      <c r="M79">
        <f t="shared" si="3"/>
        <v>101.69648466746713</v>
      </c>
    </row>
    <row r="80" spans="1:13" hidden="1" x14ac:dyDescent="0.25">
      <c r="A80">
        <v>19.22</v>
      </c>
      <c r="B80">
        <v>110.44</v>
      </c>
      <c r="C80">
        <v>111.5</v>
      </c>
      <c r="D80">
        <v>114</v>
      </c>
      <c r="E80" t="s">
        <v>11</v>
      </c>
      <c r="F80">
        <v>1</v>
      </c>
      <c r="G80">
        <v>0</v>
      </c>
      <c r="H80">
        <v>1</v>
      </c>
      <c r="I80">
        <v>0</v>
      </c>
      <c r="J80">
        <v>0</v>
      </c>
      <c r="L80">
        <f t="shared" si="2"/>
        <v>125.27283040102608</v>
      </c>
      <c r="M80">
        <f t="shared" si="3"/>
        <v>101.69648466746713</v>
      </c>
    </row>
    <row r="81" spans="1:17" hidden="1" x14ac:dyDescent="0.25">
      <c r="A81">
        <v>19.47</v>
      </c>
      <c r="B81">
        <v>114.75</v>
      </c>
      <c r="C81">
        <v>114.2</v>
      </c>
      <c r="D81">
        <v>114</v>
      </c>
      <c r="E81" t="s">
        <v>12</v>
      </c>
      <c r="F81">
        <v>0</v>
      </c>
      <c r="G81">
        <v>0</v>
      </c>
      <c r="H81">
        <v>1</v>
      </c>
      <c r="I81">
        <v>0</v>
      </c>
      <c r="J81">
        <v>0</v>
      </c>
      <c r="L81">
        <f t="shared" si="2"/>
        <v>125.27283040102608</v>
      </c>
      <c r="M81">
        <f t="shared" si="3"/>
        <v>101.69648466746713</v>
      </c>
    </row>
    <row r="82" spans="1:17" hidden="1" x14ac:dyDescent="0.25">
      <c r="A82">
        <v>19.72</v>
      </c>
      <c r="B82">
        <v>98.85</v>
      </c>
      <c r="C82">
        <v>115</v>
      </c>
      <c r="D82">
        <v>114</v>
      </c>
      <c r="E82" t="s">
        <v>12</v>
      </c>
      <c r="F82">
        <v>0</v>
      </c>
      <c r="G82">
        <v>0</v>
      </c>
      <c r="H82">
        <v>1</v>
      </c>
      <c r="I82">
        <v>0</v>
      </c>
      <c r="J82">
        <v>0</v>
      </c>
      <c r="L82">
        <f t="shared" si="2"/>
        <v>125.27283040102608</v>
      </c>
      <c r="M82">
        <f t="shared" si="3"/>
        <v>101.69648466746713</v>
      </c>
    </row>
    <row r="83" spans="1:17" hidden="1" x14ac:dyDescent="0.25">
      <c r="A83">
        <v>19.97</v>
      </c>
      <c r="B83">
        <v>107.29</v>
      </c>
      <c r="C83">
        <v>110.9</v>
      </c>
      <c r="D83">
        <v>114</v>
      </c>
      <c r="E83" t="s">
        <v>12</v>
      </c>
      <c r="F83">
        <v>0</v>
      </c>
      <c r="G83">
        <v>0</v>
      </c>
      <c r="H83">
        <v>1</v>
      </c>
      <c r="I83">
        <v>0</v>
      </c>
      <c r="J83">
        <v>0</v>
      </c>
      <c r="L83">
        <f t="shared" si="2"/>
        <v>125.27283040102608</v>
      </c>
      <c r="M83">
        <f t="shared" si="3"/>
        <v>101.69648466746713</v>
      </c>
    </row>
    <row r="84" spans="1:17" hidden="1" x14ac:dyDescent="0.25">
      <c r="A84">
        <v>20.22</v>
      </c>
      <c r="B84">
        <v>125.97</v>
      </c>
      <c r="C84">
        <v>112.7</v>
      </c>
      <c r="D84">
        <v>114</v>
      </c>
      <c r="E84" t="s">
        <v>12</v>
      </c>
      <c r="F84">
        <v>0</v>
      </c>
      <c r="G84">
        <v>0</v>
      </c>
      <c r="H84">
        <v>1</v>
      </c>
      <c r="I84">
        <v>0</v>
      </c>
      <c r="J84">
        <v>0</v>
      </c>
      <c r="L84">
        <f t="shared" si="2"/>
        <v>125.27283040102608</v>
      </c>
      <c r="M84">
        <f t="shared" si="3"/>
        <v>101.69648466746713</v>
      </c>
    </row>
    <row r="85" spans="1:17" hidden="1" x14ac:dyDescent="0.25">
      <c r="A85">
        <v>20.48</v>
      </c>
      <c r="B85">
        <v>116.24</v>
      </c>
      <c r="C85">
        <v>111.5</v>
      </c>
      <c r="D85">
        <v>114</v>
      </c>
      <c r="E85" t="s">
        <v>12</v>
      </c>
      <c r="F85">
        <v>0</v>
      </c>
      <c r="G85">
        <v>0</v>
      </c>
      <c r="H85">
        <v>1</v>
      </c>
      <c r="I85">
        <v>0</v>
      </c>
      <c r="J85">
        <v>0</v>
      </c>
      <c r="L85">
        <f t="shared" si="2"/>
        <v>125.27283040102608</v>
      </c>
      <c r="M85">
        <f t="shared" si="3"/>
        <v>101.69648466746713</v>
      </c>
    </row>
    <row r="86" spans="1:17" hidden="1" x14ac:dyDescent="0.25">
      <c r="A86">
        <v>20.74</v>
      </c>
      <c r="B86">
        <v>123.07</v>
      </c>
      <c r="C86">
        <v>111.9</v>
      </c>
      <c r="D86">
        <v>114</v>
      </c>
      <c r="E86" t="s">
        <v>12</v>
      </c>
      <c r="F86">
        <v>0</v>
      </c>
      <c r="G86">
        <v>0</v>
      </c>
      <c r="H86">
        <v>1</v>
      </c>
      <c r="I86">
        <v>0</v>
      </c>
      <c r="J86">
        <v>0</v>
      </c>
      <c r="L86">
        <f t="shared" si="2"/>
        <v>125.27283040102608</v>
      </c>
      <c r="M86">
        <f t="shared" si="3"/>
        <v>101.69648466746713</v>
      </c>
    </row>
    <row r="87" spans="1:17" hidden="1" x14ac:dyDescent="0.25">
      <c r="A87">
        <v>20.99</v>
      </c>
      <c r="B87">
        <v>107.31</v>
      </c>
      <c r="C87">
        <v>115.8</v>
      </c>
      <c r="D87">
        <v>114</v>
      </c>
      <c r="E87" t="s">
        <v>12</v>
      </c>
      <c r="F87">
        <v>0</v>
      </c>
      <c r="G87">
        <v>0</v>
      </c>
      <c r="H87">
        <v>1</v>
      </c>
      <c r="I87">
        <v>0</v>
      </c>
      <c r="J87">
        <v>0</v>
      </c>
      <c r="L87">
        <f t="shared" si="2"/>
        <v>125.27283040102608</v>
      </c>
      <c r="M87">
        <f t="shared" si="3"/>
        <v>101.69648466746713</v>
      </c>
    </row>
    <row r="88" spans="1:17" hidden="1" x14ac:dyDescent="0.25">
      <c r="A88">
        <v>21.23</v>
      </c>
      <c r="B88">
        <v>106.51</v>
      </c>
      <c r="C88">
        <v>110.9</v>
      </c>
      <c r="D88">
        <v>114</v>
      </c>
      <c r="E88" t="s">
        <v>11</v>
      </c>
      <c r="F88">
        <v>1</v>
      </c>
      <c r="G88">
        <v>0</v>
      </c>
      <c r="H88">
        <v>1</v>
      </c>
      <c r="I88">
        <v>0</v>
      </c>
      <c r="J88">
        <v>0</v>
      </c>
      <c r="L88">
        <f t="shared" si="2"/>
        <v>125.27283040102608</v>
      </c>
      <c r="M88">
        <f t="shared" si="3"/>
        <v>101.69648466746713</v>
      </c>
    </row>
    <row r="89" spans="1:17" hidden="1" x14ac:dyDescent="0.25">
      <c r="A89">
        <v>21.49</v>
      </c>
      <c r="B89">
        <v>123.11</v>
      </c>
      <c r="C89">
        <v>114.9</v>
      </c>
      <c r="D89">
        <v>114</v>
      </c>
      <c r="E89" t="s">
        <v>12</v>
      </c>
      <c r="F89">
        <v>0</v>
      </c>
      <c r="G89">
        <v>0</v>
      </c>
      <c r="H89">
        <v>1</v>
      </c>
      <c r="I89">
        <v>0</v>
      </c>
      <c r="J89">
        <v>0</v>
      </c>
      <c r="L89">
        <f t="shared" si="2"/>
        <v>125.27283040102608</v>
      </c>
      <c r="M89">
        <f t="shared" si="3"/>
        <v>101.69648466746713</v>
      </c>
    </row>
    <row r="90" spans="1:17" x14ac:dyDescent="0.25">
      <c r="A90" s="1">
        <v>21.74</v>
      </c>
      <c r="B90">
        <v>110.53</v>
      </c>
      <c r="C90">
        <v>112.3</v>
      </c>
      <c r="D90">
        <v>114</v>
      </c>
      <c r="E90" t="s">
        <v>12</v>
      </c>
      <c r="F90">
        <v>0</v>
      </c>
      <c r="G90">
        <v>0</v>
      </c>
      <c r="H90">
        <v>1</v>
      </c>
      <c r="I90">
        <v>0</v>
      </c>
      <c r="J90">
        <v>0</v>
      </c>
      <c r="L90">
        <f t="shared" si="2"/>
        <v>125.27283040102608</v>
      </c>
      <c r="M90">
        <f t="shared" si="3"/>
        <v>101.69648466746713</v>
      </c>
      <c r="N90">
        <f>L90-M90</f>
        <v>23.576345733558952</v>
      </c>
      <c r="O90">
        <f t="shared" ref="O90:O135" si="4">$S$103+$S$100</f>
        <v>116.90671830296179</v>
      </c>
      <c r="P90">
        <f>$S$103-$S$100</f>
        <v>111.97136388881907</v>
      </c>
      <c r="Q90">
        <f>O90-P90</f>
        <v>4.9353544141427221</v>
      </c>
    </row>
    <row r="91" spans="1:17" x14ac:dyDescent="0.25">
      <c r="A91">
        <v>21.99</v>
      </c>
      <c r="B91">
        <v>132.80000000000001</v>
      </c>
      <c r="C91">
        <v>110.7</v>
      </c>
      <c r="D91">
        <v>114</v>
      </c>
      <c r="E91" t="s">
        <v>12</v>
      </c>
      <c r="F91">
        <v>0</v>
      </c>
      <c r="G91">
        <v>0</v>
      </c>
      <c r="H91">
        <v>1</v>
      </c>
      <c r="I91">
        <v>0</v>
      </c>
      <c r="J91">
        <v>0</v>
      </c>
      <c r="L91">
        <f t="shared" si="2"/>
        <v>125.27283040102608</v>
      </c>
      <c r="M91">
        <f t="shared" si="3"/>
        <v>101.69648466746713</v>
      </c>
      <c r="N91">
        <f t="shared" ref="N91:N154" si="5">L91-M91</f>
        <v>23.576345733558952</v>
      </c>
      <c r="O91">
        <f t="shared" si="4"/>
        <v>116.90671830296179</v>
      </c>
      <c r="P91">
        <f t="shared" ref="P91:P154" si="6">$S$103-$S$100</f>
        <v>111.97136388881907</v>
      </c>
      <c r="Q91">
        <f t="shared" ref="Q91:Q154" si="7">O91-P91</f>
        <v>4.9353544141427221</v>
      </c>
    </row>
    <row r="92" spans="1:17" x14ac:dyDescent="0.25">
      <c r="A92">
        <v>22.25</v>
      </c>
      <c r="B92">
        <v>97.48</v>
      </c>
      <c r="C92">
        <v>113.7</v>
      </c>
      <c r="D92">
        <v>114</v>
      </c>
      <c r="E92" t="s">
        <v>12</v>
      </c>
      <c r="F92">
        <v>0</v>
      </c>
      <c r="G92">
        <v>0</v>
      </c>
      <c r="H92">
        <v>1</v>
      </c>
      <c r="I92">
        <v>0</v>
      </c>
      <c r="J92">
        <v>0</v>
      </c>
      <c r="L92">
        <f t="shared" si="2"/>
        <v>125.27283040102608</v>
      </c>
      <c r="M92">
        <f t="shared" si="3"/>
        <v>101.69648466746713</v>
      </c>
      <c r="N92">
        <f t="shared" si="5"/>
        <v>23.576345733558952</v>
      </c>
      <c r="O92">
        <f t="shared" si="4"/>
        <v>116.90671830296179</v>
      </c>
      <c r="P92">
        <f t="shared" si="6"/>
        <v>111.97136388881907</v>
      </c>
      <c r="Q92">
        <f t="shared" si="7"/>
        <v>4.9353544141427221</v>
      </c>
    </row>
    <row r="93" spans="1:17" x14ac:dyDescent="0.25">
      <c r="A93">
        <v>22.5</v>
      </c>
      <c r="B93">
        <v>102.22</v>
      </c>
      <c r="C93">
        <v>113</v>
      </c>
      <c r="D93">
        <v>114</v>
      </c>
      <c r="E93" t="s">
        <v>12</v>
      </c>
      <c r="F93">
        <v>0</v>
      </c>
      <c r="G93">
        <v>0</v>
      </c>
      <c r="H93">
        <v>1</v>
      </c>
      <c r="I93">
        <v>0</v>
      </c>
      <c r="J93">
        <v>0</v>
      </c>
      <c r="L93">
        <f t="shared" si="2"/>
        <v>125.27283040102608</v>
      </c>
      <c r="M93">
        <f t="shared" si="3"/>
        <v>101.69648466746713</v>
      </c>
      <c r="N93">
        <f t="shared" si="5"/>
        <v>23.576345733558952</v>
      </c>
      <c r="O93">
        <f t="shared" si="4"/>
        <v>116.90671830296179</v>
      </c>
      <c r="P93">
        <f t="shared" si="6"/>
        <v>111.97136388881907</v>
      </c>
      <c r="Q93">
        <f t="shared" si="7"/>
        <v>4.9353544141427221</v>
      </c>
    </row>
    <row r="94" spans="1:17" x14ac:dyDescent="0.25">
      <c r="A94">
        <v>22.75</v>
      </c>
      <c r="B94">
        <v>122.42</v>
      </c>
      <c r="C94">
        <v>115.8</v>
      </c>
      <c r="D94">
        <v>114</v>
      </c>
      <c r="E94" t="s">
        <v>12</v>
      </c>
      <c r="F94">
        <v>0</v>
      </c>
      <c r="G94">
        <v>0</v>
      </c>
      <c r="H94">
        <v>1</v>
      </c>
      <c r="I94">
        <v>0</v>
      </c>
      <c r="J94">
        <v>0</v>
      </c>
      <c r="L94">
        <f t="shared" si="2"/>
        <v>125.27283040102608</v>
      </c>
      <c r="M94">
        <f t="shared" si="3"/>
        <v>101.69648466746713</v>
      </c>
      <c r="N94">
        <f t="shared" si="5"/>
        <v>23.576345733558952</v>
      </c>
      <c r="O94">
        <f t="shared" si="4"/>
        <v>116.90671830296179</v>
      </c>
      <c r="P94">
        <f t="shared" si="6"/>
        <v>111.97136388881907</v>
      </c>
      <c r="Q94">
        <f t="shared" si="7"/>
        <v>4.9353544141427221</v>
      </c>
    </row>
    <row r="95" spans="1:17" x14ac:dyDescent="0.25">
      <c r="A95">
        <v>23</v>
      </c>
      <c r="B95">
        <v>117.61</v>
      </c>
      <c r="C95">
        <v>113.5</v>
      </c>
      <c r="D95">
        <v>114</v>
      </c>
      <c r="E95" t="s">
        <v>12</v>
      </c>
      <c r="F95">
        <v>0</v>
      </c>
      <c r="G95">
        <v>0</v>
      </c>
      <c r="H95">
        <v>1</v>
      </c>
      <c r="I95">
        <v>0</v>
      </c>
      <c r="J95">
        <v>0</v>
      </c>
      <c r="L95">
        <f t="shared" si="2"/>
        <v>125.27283040102608</v>
      </c>
      <c r="M95">
        <f t="shared" si="3"/>
        <v>101.69648466746713</v>
      </c>
      <c r="N95">
        <f t="shared" si="5"/>
        <v>23.576345733558952</v>
      </c>
      <c r="O95">
        <f t="shared" si="4"/>
        <v>116.90671830296179</v>
      </c>
      <c r="P95">
        <f t="shared" si="6"/>
        <v>111.97136388881907</v>
      </c>
      <c r="Q95">
        <f t="shared" si="7"/>
        <v>4.9353544141427221</v>
      </c>
    </row>
    <row r="96" spans="1:17" x14ac:dyDescent="0.25">
      <c r="A96">
        <v>23.25</v>
      </c>
      <c r="B96">
        <v>119.62</v>
      </c>
      <c r="C96">
        <v>113.5</v>
      </c>
      <c r="D96">
        <v>114</v>
      </c>
      <c r="E96" t="s">
        <v>12</v>
      </c>
      <c r="F96">
        <v>0</v>
      </c>
      <c r="G96">
        <v>0</v>
      </c>
      <c r="H96">
        <v>1</v>
      </c>
      <c r="I96">
        <v>0</v>
      </c>
      <c r="J96">
        <v>0</v>
      </c>
      <c r="L96">
        <f t="shared" si="2"/>
        <v>125.27283040102608</v>
      </c>
      <c r="M96">
        <f t="shared" si="3"/>
        <v>101.69648466746713</v>
      </c>
      <c r="N96">
        <f t="shared" si="5"/>
        <v>23.576345733558952</v>
      </c>
      <c r="O96">
        <f t="shared" si="4"/>
        <v>116.90671830296179</v>
      </c>
      <c r="P96">
        <f t="shared" si="6"/>
        <v>111.97136388881907</v>
      </c>
      <c r="Q96">
        <f t="shared" si="7"/>
        <v>4.9353544141427221</v>
      </c>
    </row>
    <row r="97" spans="1:35" x14ac:dyDescent="0.25">
      <c r="A97">
        <v>23.5</v>
      </c>
      <c r="B97">
        <v>114.27</v>
      </c>
      <c r="C97">
        <v>115.6</v>
      </c>
      <c r="D97">
        <v>114</v>
      </c>
      <c r="E97" t="s">
        <v>12</v>
      </c>
      <c r="F97">
        <v>0</v>
      </c>
      <c r="G97">
        <v>0</v>
      </c>
      <c r="H97">
        <v>1</v>
      </c>
      <c r="I97">
        <v>0</v>
      </c>
      <c r="J97">
        <v>0</v>
      </c>
      <c r="L97">
        <f t="shared" si="2"/>
        <v>125.27283040102608</v>
      </c>
      <c r="M97">
        <f t="shared" si="3"/>
        <v>101.69648466746713</v>
      </c>
      <c r="N97">
        <f t="shared" si="5"/>
        <v>23.576345733558952</v>
      </c>
      <c r="O97">
        <f t="shared" si="4"/>
        <v>116.90671830296179</v>
      </c>
      <c r="P97">
        <f t="shared" si="6"/>
        <v>111.97136388881907</v>
      </c>
      <c r="Q97">
        <f t="shared" si="7"/>
        <v>4.9353544141427221</v>
      </c>
    </row>
    <row r="98" spans="1:35" x14ac:dyDescent="0.25">
      <c r="A98">
        <v>23.76</v>
      </c>
      <c r="B98">
        <v>104.31</v>
      </c>
      <c r="C98">
        <v>109.4</v>
      </c>
      <c r="D98">
        <v>114</v>
      </c>
      <c r="E98" t="s">
        <v>11</v>
      </c>
      <c r="F98">
        <v>1</v>
      </c>
      <c r="G98">
        <v>0</v>
      </c>
      <c r="H98">
        <v>1</v>
      </c>
      <c r="I98">
        <v>0</v>
      </c>
      <c r="J98">
        <v>0</v>
      </c>
      <c r="L98">
        <f t="shared" si="2"/>
        <v>125.27283040102608</v>
      </c>
      <c r="M98">
        <f t="shared" si="3"/>
        <v>101.69648466746713</v>
      </c>
      <c r="N98">
        <f t="shared" si="5"/>
        <v>23.576345733558952</v>
      </c>
      <c r="O98">
        <f t="shared" si="4"/>
        <v>116.90671830296179</v>
      </c>
      <c r="P98">
        <f t="shared" si="6"/>
        <v>111.97136388881907</v>
      </c>
      <c r="Q98">
        <f t="shared" si="7"/>
        <v>4.9353544141427221</v>
      </c>
    </row>
    <row r="99" spans="1:35" x14ac:dyDescent="0.25">
      <c r="A99">
        <v>24.01</v>
      </c>
      <c r="B99">
        <v>130.80000000000001</v>
      </c>
      <c r="C99">
        <v>113.8</v>
      </c>
      <c r="D99">
        <v>114</v>
      </c>
      <c r="E99" t="s">
        <v>12</v>
      </c>
      <c r="F99">
        <v>0</v>
      </c>
      <c r="G99">
        <v>0</v>
      </c>
      <c r="H99">
        <v>1</v>
      </c>
      <c r="I99">
        <v>0</v>
      </c>
      <c r="J99">
        <v>0</v>
      </c>
      <c r="L99">
        <f t="shared" si="2"/>
        <v>125.27283040102608</v>
      </c>
      <c r="M99">
        <f t="shared" si="3"/>
        <v>101.69648466746713</v>
      </c>
      <c r="N99">
        <f t="shared" si="5"/>
        <v>23.576345733558952</v>
      </c>
      <c r="O99">
        <f t="shared" si="4"/>
        <v>116.90671830296179</v>
      </c>
      <c r="P99">
        <f t="shared" si="6"/>
        <v>111.97136388881907</v>
      </c>
      <c r="Q99">
        <f t="shared" si="7"/>
        <v>4.9353544141427221</v>
      </c>
      <c r="R99" t="s">
        <v>14</v>
      </c>
      <c r="S99" t="s">
        <v>14</v>
      </c>
    </row>
    <row r="100" spans="1:35" x14ac:dyDescent="0.25">
      <c r="A100" s="2">
        <v>24.26</v>
      </c>
      <c r="B100">
        <v>96.98</v>
      </c>
      <c r="C100">
        <v>115.6</v>
      </c>
      <c r="D100">
        <v>114</v>
      </c>
      <c r="E100" t="s">
        <v>12</v>
      </c>
      <c r="F100">
        <v>0</v>
      </c>
      <c r="G100">
        <v>0</v>
      </c>
      <c r="H100">
        <v>1</v>
      </c>
      <c r="I100">
        <v>0</v>
      </c>
      <c r="J100">
        <v>0</v>
      </c>
      <c r="L100">
        <f t="shared" si="2"/>
        <v>125.27283040102608</v>
      </c>
      <c r="M100">
        <f t="shared" si="3"/>
        <v>101.69648466746713</v>
      </c>
      <c r="N100">
        <f t="shared" si="5"/>
        <v>23.576345733558952</v>
      </c>
      <c r="O100">
        <f t="shared" si="4"/>
        <v>116.90671830296179</v>
      </c>
      <c r="P100">
        <f t="shared" si="6"/>
        <v>111.97136388881907</v>
      </c>
      <c r="Q100">
        <f t="shared" si="7"/>
        <v>4.9353544141427221</v>
      </c>
      <c r="R100">
        <f>_xlfn.STDEV.S(B90:B235)</f>
        <v>11.788172866779483</v>
      </c>
      <c r="S100">
        <f>_xlfn.STDEV.S(C90:C235)</f>
        <v>2.467677207071354</v>
      </c>
      <c r="AI100" s="3"/>
    </row>
    <row r="101" spans="1:35" x14ac:dyDescent="0.25">
      <c r="A101">
        <v>24.52</v>
      </c>
      <c r="B101">
        <v>119.6</v>
      </c>
      <c r="C101">
        <v>113.3</v>
      </c>
      <c r="D101">
        <v>114</v>
      </c>
      <c r="E101" t="s">
        <v>12</v>
      </c>
      <c r="F101">
        <v>0</v>
      </c>
      <c r="G101">
        <v>0</v>
      </c>
      <c r="H101">
        <v>1</v>
      </c>
      <c r="I101">
        <v>0</v>
      </c>
      <c r="J101">
        <v>0</v>
      </c>
      <c r="L101">
        <f t="shared" si="2"/>
        <v>125.27283040102608</v>
      </c>
      <c r="M101">
        <f t="shared" si="3"/>
        <v>101.69648466746713</v>
      </c>
      <c r="N101">
        <f t="shared" si="5"/>
        <v>23.576345733558952</v>
      </c>
      <c r="O101">
        <f t="shared" si="4"/>
        <v>116.90671830296179</v>
      </c>
      <c r="P101">
        <f t="shared" si="6"/>
        <v>111.97136388881907</v>
      </c>
      <c r="Q101">
        <f t="shared" si="7"/>
        <v>4.9353544141427221</v>
      </c>
    </row>
    <row r="102" spans="1:35" x14ac:dyDescent="0.25">
      <c r="A102">
        <v>24.77</v>
      </c>
      <c r="B102">
        <v>122.38</v>
      </c>
      <c r="C102">
        <v>115</v>
      </c>
      <c r="D102">
        <v>114</v>
      </c>
      <c r="E102" t="s">
        <v>12</v>
      </c>
      <c r="F102">
        <v>0</v>
      </c>
      <c r="G102">
        <v>0</v>
      </c>
      <c r="H102">
        <v>1</v>
      </c>
      <c r="I102">
        <v>0</v>
      </c>
      <c r="J102">
        <v>0</v>
      </c>
      <c r="L102">
        <f t="shared" si="2"/>
        <v>125.27283040102608</v>
      </c>
      <c r="M102">
        <f t="shared" si="3"/>
        <v>101.69648466746713</v>
      </c>
      <c r="N102">
        <f t="shared" si="5"/>
        <v>23.576345733558952</v>
      </c>
      <c r="O102">
        <f t="shared" si="4"/>
        <v>116.90671830296179</v>
      </c>
      <c r="P102">
        <f t="shared" si="6"/>
        <v>111.97136388881907</v>
      </c>
      <c r="Q102">
        <f t="shared" si="7"/>
        <v>4.9353544141427221</v>
      </c>
      <c r="R102" t="s">
        <v>15</v>
      </c>
      <c r="S102" t="s">
        <v>15</v>
      </c>
    </row>
    <row r="103" spans="1:35" x14ac:dyDescent="0.25">
      <c r="A103">
        <v>25.02</v>
      </c>
      <c r="B103">
        <v>95.36</v>
      </c>
      <c r="C103">
        <v>111.4</v>
      </c>
      <c r="D103">
        <v>114</v>
      </c>
      <c r="E103" t="s">
        <v>12</v>
      </c>
      <c r="F103">
        <v>0</v>
      </c>
      <c r="G103">
        <v>0</v>
      </c>
      <c r="H103">
        <v>1</v>
      </c>
      <c r="I103">
        <v>0</v>
      </c>
      <c r="J103">
        <v>0</v>
      </c>
      <c r="L103">
        <f t="shared" si="2"/>
        <v>125.27283040102608</v>
      </c>
      <c r="M103">
        <f t="shared" si="3"/>
        <v>101.69648466746713</v>
      </c>
      <c r="N103">
        <f t="shared" si="5"/>
        <v>23.576345733558952</v>
      </c>
      <c r="O103">
        <f t="shared" si="4"/>
        <v>116.90671830296179</v>
      </c>
      <c r="P103">
        <f t="shared" si="6"/>
        <v>111.97136388881907</v>
      </c>
      <c r="Q103">
        <f t="shared" si="7"/>
        <v>4.9353544141427221</v>
      </c>
      <c r="R103">
        <f>AVERAGE(B90:B235)</f>
        <v>113.48465753424661</v>
      </c>
      <c r="S103">
        <f>AVERAGE(C90:C235)</f>
        <v>114.43904109589043</v>
      </c>
    </row>
    <row r="104" spans="1:35" x14ac:dyDescent="0.25">
      <c r="A104">
        <v>25.27</v>
      </c>
      <c r="B104">
        <v>131.32</v>
      </c>
      <c r="C104">
        <v>113.1</v>
      </c>
      <c r="D104">
        <v>114</v>
      </c>
      <c r="E104" t="s">
        <v>12</v>
      </c>
      <c r="F104">
        <v>0</v>
      </c>
      <c r="G104">
        <v>0</v>
      </c>
      <c r="H104">
        <v>1</v>
      </c>
      <c r="I104">
        <v>0</v>
      </c>
      <c r="J104">
        <v>0</v>
      </c>
      <c r="L104">
        <f t="shared" si="2"/>
        <v>125.27283040102608</v>
      </c>
      <c r="M104">
        <f t="shared" si="3"/>
        <v>101.69648466746713</v>
      </c>
      <c r="N104">
        <f t="shared" si="5"/>
        <v>23.576345733558952</v>
      </c>
      <c r="O104">
        <f t="shared" si="4"/>
        <v>116.90671830296179</v>
      </c>
      <c r="P104">
        <f t="shared" si="6"/>
        <v>111.97136388881907</v>
      </c>
      <c r="Q104">
        <f t="shared" si="7"/>
        <v>4.9353544141427221</v>
      </c>
    </row>
    <row r="105" spans="1:35" x14ac:dyDescent="0.25">
      <c r="A105">
        <v>25.53</v>
      </c>
      <c r="B105">
        <v>105.55</v>
      </c>
      <c r="C105">
        <v>115.9</v>
      </c>
      <c r="D105">
        <v>114</v>
      </c>
      <c r="E105" t="s">
        <v>12</v>
      </c>
      <c r="F105">
        <v>0</v>
      </c>
      <c r="G105">
        <v>0</v>
      </c>
      <c r="H105">
        <v>1</v>
      </c>
      <c r="I105">
        <v>0</v>
      </c>
      <c r="J105">
        <v>0</v>
      </c>
      <c r="L105">
        <f t="shared" si="2"/>
        <v>125.27283040102608</v>
      </c>
      <c r="M105">
        <f t="shared" si="3"/>
        <v>101.69648466746713</v>
      </c>
      <c r="N105">
        <f t="shared" si="5"/>
        <v>23.576345733558952</v>
      </c>
      <c r="O105">
        <f t="shared" si="4"/>
        <v>116.90671830296179</v>
      </c>
      <c r="P105">
        <f t="shared" si="6"/>
        <v>111.97136388881907</v>
      </c>
      <c r="Q105">
        <f t="shared" si="7"/>
        <v>4.9353544141427221</v>
      </c>
    </row>
    <row r="106" spans="1:35" x14ac:dyDescent="0.25">
      <c r="A106">
        <v>25.78</v>
      </c>
      <c r="B106">
        <v>115.46</v>
      </c>
      <c r="C106">
        <v>112.3</v>
      </c>
      <c r="D106">
        <v>114</v>
      </c>
      <c r="E106" t="s">
        <v>12</v>
      </c>
      <c r="F106">
        <v>0</v>
      </c>
      <c r="G106">
        <v>0</v>
      </c>
      <c r="H106">
        <v>1</v>
      </c>
      <c r="I106">
        <v>0</v>
      </c>
      <c r="J106">
        <v>0</v>
      </c>
      <c r="L106">
        <f t="shared" si="2"/>
        <v>125.27283040102608</v>
      </c>
      <c r="M106">
        <f t="shared" si="3"/>
        <v>101.69648466746713</v>
      </c>
      <c r="N106">
        <f t="shared" si="5"/>
        <v>23.576345733558952</v>
      </c>
      <c r="O106">
        <f t="shared" si="4"/>
        <v>116.90671830296179</v>
      </c>
      <c r="P106">
        <f t="shared" si="6"/>
        <v>111.97136388881907</v>
      </c>
      <c r="Q106">
        <f t="shared" si="7"/>
        <v>4.9353544141427221</v>
      </c>
    </row>
    <row r="107" spans="1:35" x14ac:dyDescent="0.25">
      <c r="A107">
        <v>26.03</v>
      </c>
      <c r="B107">
        <v>112.78</v>
      </c>
      <c r="C107">
        <v>116</v>
      </c>
      <c r="D107">
        <v>114</v>
      </c>
      <c r="E107" t="s">
        <v>13</v>
      </c>
      <c r="F107">
        <v>0</v>
      </c>
      <c r="G107">
        <v>1</v>
      </c>
      <c r="H107">
        <v>1</v>
      </c>
      <c r="I107">
        <v>0</v>
      </c>
      <c r="J107">
        <v>0</v>
      </c>
      <c r="L107">
        <f t="shared" si="2"/>
        <v>125.27283040102608</v>
      </c>
      <c r="M107">
        <f t="shared" si="3"/>
        <v>101.69648466746713</v>
      </c>
      <c r="N107">
        <f t="shared" si="5"/>
        <v>23.576345733558952</v>
      </c>
      <c r="O107">
        <f t="shared" si="4"/>
        <v>116.90671830296179</v>
      </c>
      <c r="P107">
        <f t="shared" si="6"/>
        <v>111.97136388881907</v>
      </c>
      <c r="Q107">
        <f t="shared" si="7"/>
        <v>4.9353544141427221</v>
      </c>
    </row>
    <row r="108" spans="1:35" x14ac:dyDescent="0.25">
      <c r="A108">
        <v>26.28</v>
      </c>
      <c r="B108">
        <v>112.06</v>
      </c>
      <c r="C108">
        <v>114.4</v>
      </c>
      <c r="D108">
        <v>114</v>
      </c>
      <c r="E108" t="s">
        <v>12</v>
      </c>
      <c r="F108">
        <v>0</v>
      </c>
      <c r="G108">
        <v>0</v>
      </c>
      <c r="H108">
        <v>1</v>
      </c>
      <c r="I108">
        <v>0</v>
      </c>
      <c r="J108">
        <v>0</v>
      </c>
      <c r="L108">
        <f t="shared" si="2"/>
        <v>125.27283040102608</v>
      </c>
      <c r="M108">
        <f t="shared" si="3"/>
        <v>101.69648466746713</v>
      </c>
      <c r="N108">
        <f t="shared" si="5"/>
        <v>23.576345733558952</v>
      </c>
      <c r="O108">
        <f t="shared" si="4"/>
        <v>116.90671830296179</v>
      </c>
      <c r="P108">
        <f t="shared" si="6"/>
        <v>111.97136388881907</v>
      </c>
      <c r="Q108">
        <f t="shared" si="7"/>
        <v>4.9353544141427221</v>
      </c>
    </row>
    <row r="109" spans="1:35" x14ac:dyDescent="0.25">
      <c r="A109">
        <v>26.55</v>
      </c>
      <c r="B109">
        <v>121.29</v>
      </c>
      <c r="C109">
        <v>113.6</v>
      </c>
      <c r="D109">
        <v>114</v>
      </c>
      <c r="E109" t="s">
        <v>12</v>
      </c>
      <c r="F109">
        <v>0</v>
      </c>
      <c r="G109">
        <v>0</v>
      </c>
      <c r="H109">
        <v>1</v>
      </c>
      <c r="I109">
        <v>0</v>
      </c>
      <c r="J109">
        <v>0</v>
      </c>
      <c r="L109">
        <f t="shared" si="2"/>
        <v>125.27283040102608</v>
      </c>
      <c r="M109">
        <f t="shared" si="3"/>
        <v>101.69648466746713</v>
      </c>
      <c r="N109">
        <f t="shared" si="5"/>
        <v>23.576345733558952</v>
      </c>
      <c r="O109">
        <f t="shared" si="4"/>
        <v>116.90671830296179</v>
      </c>
      <c r="P109">
        <f t="shared" si="6"/>
        <v>111.97136388881907</v>
      </c>
      <c r="Q109">
        <f t="shared" si="7"/>
        <v>4.9353544141427221</v>
      </c>
    </row>
    <row r="110" spans="1:35" x14ac:dyDescent="0.25">
      <c r="A110">
        <v>26.79</v>
      </c>
      <c r="B110">
        <v>97.5</v>
      </c>
      <c r="C110">
        <v>116.7</v>
      </c>
      <c r="D110">
        <v>114</v>
      </c>
      <c r="E110" t="s">
        <v>12</v>
      </c>
      <c r="F110">
        <v>0</v>
      </c>
      <c r="G110">
        <v>0</v>
      </c>
      <c r="H110">
        <v>1</v>
      </c>
      <c r="I110">
        <v>0</v>
      </c>
      <c r="J110">
        <v>0</v>
      </c>
      <c r="L110">
        <f t="shared" si="2"/>
        <v>125.27283040102608</v>
      </c>
      <c r="M110">
        <f t="shared" si="3"/>
        <v>101.69648466746713</v>
      </c>
      <c r="N110">
        <f t="shared" si="5"/>
        <v>23.576345733558952</v>
      </c>
      <c r="O110">
        <f t="shared" si="4"/>
        <v>116.90671830296179</v>
      </c>
      <c r="P110">
        <f t="shared" si="6"/>
        <v>111.97136388881907</v>
      </c>
      <c r="Q110">
        <f t="shared" si="7"/>
        <v>4.9353544141427221</v>
      </c>
    </row>
    <row r="111" spans="1:35" x14ac:dyDescent="0.25">
      <c r="A111">
        <v>27.04</v>
      </c>
      <c r="B111">
        <v>124.95</v>
      </c>
      <c r="C111">
        <v>114.3</v>
      </c>
      <c r="D111">
        <v>114</v>
      </c>
      <c r="E111" t="s">
        <v>12</v>
      </c>
      <c r="F111">
        <v>0</v>
      </c>
      <c r="G111">
        <v>0</v>
      </c>
      <c r="H111">
        <v>1</v>
      </c>
      <c r="I111">
        <v>0</v>
      </c>
      <c r="J111">
        <v>0</v>
      </c>
      <c r="L111">
        <f t="shared" si="2"/>
        <v>125.27283040102608</v>
      </c>
      <c r="M111">
        <f t="shared" si="3"/>
        <v>101.69648466746713</v>
      </c>
      <c r="N111">
        <f t="shared" si="5"/>
        <v>23.576345733558952</v>
      </c>
      <c r="O111">
        <f t="shared" si="4"/>
        <v>116.90671830296179</v>
      </c>
      <c r="P111">
        <f t="shared" si="6"/>
        <v>111.97136388881907</v>
      </c>
      <c r="Q111">
        <f t="shared" si="7"/>
        <v>4.9353544141427221</v>
      </c>
    </row>
    <row r="112" spans="1:35" x14ac:dyDescent="0.25">
      <c r="A112">
        <v>27.29</v>
      </c>
      <c r="B112">
        <v>120.4</v>
      </c>
      <c r="C112">
        <v>115.5</v>
      </c>
      <c r="D112">
        <v>114</v>
      </c>
      <c r="E112" t="s">
        <v>12</v>
      </c>
      <c r="F112">
        <v>0</v>
      </c>
      <c r="G112">
        <v>0</v>
      </c>
      <c r="H112">
        <v>1</v>
      </c>
      <c r="I112">
        <v>0</v>
      </c>
      <c r="J112">
        <v>0</v>
      </c>
      <c r="L112">
        <f t="shared" si="2"/>
        <v>125.27283040102608</v>
      </c>
      <c r="M112">
        <f t="shared" si="3"/>
        <v>101.69648466746713</v>
      </c>
      <c r="N112">
        <f t="shared" si="5"/>
        <v>23.576345733558952</v>
      </c>
      <c r="O112">
        <f t="shared" si="4"/>
        <v>116.90671830296179</v>
      </c>
      <c r="P112">
        <f t="shared" si="6"/>
        <v>111.97136388881907</v>
      </c>
      <c r="Q112">
        <f t="shared" si="7"/>
        <v>4.9353544141427221</v>
      </c>
    </row>
    <row r="113" spans="1:17" x14ac:dyDescent="0.25">
      <c r="A113">
        <v>27.55</v>
      </c>
      <c r="B113">
        <v>114</v>
      </c>
      <c r="C113">
        <v>114.8</v>
      </c>
      <c r="D113">
        <v>114</v>
      </c>
      <c r="E113" t="s">
        <v>12</v>
      </c>
      <c r="F113">
        <v>0</v>
      </c>
      <c r="G113">
        <v>0</v>
      </c>
      <c r="H113">
        <v>1</v>
      </c>
      <c r="I113">
        <v>0</v>
      </c>
      <c r="J113">
        <v>0</v>
      </c>
      <c r="L113">
        <f t="shared" si="2"/>
        <v>125.27283040102608</v>
      </c>
      <c r="M113">
        <f t="shared" si="3"/>
        <v>101.69648466746713</v>
      </c>
      <c r="N113">
        <f t="shared" si="5"/>
        <v>23.576345733558952</v>
      </c>
      <c r="O113">
        <f t="shared" si="4"/>
        <v>116.90671830296179</v>
      </c>
      <c r="P113">
        <f t="shared" si="6"/>
        <v>111.97136388881907</v>
      </c>
      <c r="Q113">
        <f t="shared" si="7"/>
        <v>4.9353544141427221</v>
      </c>
    </row>
    <row r="114" spans="1:17" x14ac:dyDescent="0.25">
      <c r="A114">
        <v>27.8</v>
      </c>
      <c r="B114">
        <v>112.45</v>
      </c>
      <c r="C114">
        <v>115.1</v>
      </c>
      <c r="D114">
        <v>114</v>
      </c>
      <c r="E114" t="s">
        <v>12</v>
      </c>
      <c r="F114">
        <v>0</v>
      </c>
      <c r="G114">
        <v>0</v>
      </c>
      <c r="H114">
        <v>1</v>
      </c>
      <c r="I114">
        <v>0</v>
      </c>
      <c r="J114">
        <v>0</v>
      </c>
      <c r="L114">
        <f t="shared" si="2"/>
        <v>125.27283040102608</v>
      </c>
      <c r="M114">
        <f t="shared" si="3"/>
        <v>101.69648466746713</v>
      </c>
      <c r="N114">
        <f t="shared" si="5"/>
        <v>23.576345733558952</v>
      </c>
      <c r="O114">
        <f t="shared" si="4"/>
        <v>116.90671830296179</v>
      </c>
      <c r="P114">
        <f t="shared" si="6"/>
        <v>111.97136388881907</v>
      </c>
      <c r="Q114">
        <f t="shared" si="7"/>
        <v>4.9353544141427221</v>
      </c>
    </row>
    <row r="115" spans="1:17" x14ac:dyDescent="0.25">
      <c r="A115">
        <v>28.06</v>
      </c>
      <c r="B115">
        <v>114.29</v>
      </c>
      <c r="C115">
        <v>118.2</v>
      </c>
      <c r="D115">
        <v>114</v>
      </c>
      <c r="E115" t="s">
        <v>12</v>
      </c>
      <c r="F115">
        <v>0</v>
      </c>
      <c r="G115">
        <v>0</v>
      </c>
      <c r="H115">
        <v>1</v>
      </c>
      <c r="I115">
        <v>0</v>
      </c>
      <c r="J115">
        <v>0</v>
      </c>
      <c r="L115">
        <f t="shared" si="2"/>
        <v>125.27283040102608</v>
      </c>
      <c r="M115">
        <f t="shared" si="3"/>
        <v>101.69648466746713</v>
      </c>
      <c r="N115">
        <f t="shared" si="5"/>
        <v>23.576345733558952</v>
      </c>
      <c r="O115">
        <f t="shared" si="4"/>
        <v>116.90671830296179</v>
      </c>
      <c r="P115">
        <f t="shared" si="6"/>
        <v>111.97136388881907</v>
      </c>
      <c r="Q115">
        <f t="shared" si="7"/>
        <v>4.9353544141427221</v>
      </c>
    </row>
    <row r="116" spans="1:17" x14ac:dyDescent="0.25">
      <c r="A116">
        <v>28.31</v>
      </c>
      <c r="B116">
        <v>95.04</v>
      </c>
      <c r="C116">
        <v>112.1</v>
      </c>
      <c r="D116">
        <v>114</v>
      </c>
      <c r="E116" t="s">
        <v>12</v>
      </c>
      <c r="F116">
        <v>0</v>
      </c>
      <c r="G116">
        <v>0</v>
      </c>
      <c r="H116">
        <v>1</v>
      </c>
      <c r="I116">
        <v>0</v>
      </c>
      <c r="J116">
        <v>0</v>
      </c>
      <c r="L116">
        <f t="shared" si="2"/>
        <v>125.27283040102608</v>
      </c>
      <c r="M116">
        <f t="shared" si="3"/>
        <v>101.69648466746713</v>
      </c>
      <c r="N116">
        <f t="shared" si="5"/>
        <v>23.576345733558952</v>
      </c>
      <c r="O116">
        <f t="shared" si="4"/>
        <v>116.90671830296179</v>
      </c>
      <c r="P116">
        <f t="shared" si="6"/>
        <v>111.97136388881907</v>
      </c>
      <c r="Q116">
        <f t="shared" si="7"/>
        <v>4.9353544141427221</v>
      </c>
    </row>
    <row r="117" spans="1:17" x14ac:dyDescent="0.25">
      <c r="A117">
        <v>28.56</v>
      </c>
      <c r="B117">
        <v>120</v>
      </c>
      <c r="C117">
        <v>114.1</v>
      </c>
      <c r="D117">
        <v>114</v>
      </c>
      <c r="E117" t="s">
        <v>12</v>
      </c>
      <c r="F117">
        <v>0</v>
      </c>
      <c r="G117">
        <v>0</v>
      </c>
      <c r="H117">
        <v>1</v>
      </c>
      <c r="I117">
        <v>0</v>
      </c>
      <c r="J117">
        <v>0</v>
      </c>
      <c r="L117">
        <f t="shared" si="2"/>
        <v>125.27283040102608</v>
      </c>
      <c r="M117">
        <f t="shared" si="3"/>
        <v>101.69648466746713</v>
      </c>
      <c r="N117">
        <f t="shared" si="5"/>
        <v>23.576345733558952</v>
      </c>
      <c r="O117">
        <f t="shared" si="4"/>
        <v>116.90671830296179</v>
      </c>
      <c r="P117">
        <f t="shared" si="6"/>
        <v>111.97136388881907</v>
      </c>
      <c r="Q117">
        <f t="shared" si="7"/>
        <v>4.9353544141427221</v>
      </c>
    </row>
    <row r="118" spans="1:17" x14ac:dyDescent="0.25">
      <c r="A118">
        <v>28.82</v>
      </c>
      <c r="B118">
        <v>100.56</v>
      </c>
      <c r="C118">
        <v>116.7</v>
      </c>
      <c r="D118">
        <v>114</v>
      </c>
      <c r="E118" t="s">
        <v>12</v>
      </c>
      <c r="F118">
        <v>0</v>
      </c>
      <c r="G118">
        <v>0</v>
      </c>
      <c r="H118">
        <v>1</v>
      </c>
      <c r="I118">
        <v>0</v>
      </c>
      <c r="J118">
        <v>0</v>
      </c>
      <c r="L118">
        <f t="shared" si="2"/>
        <v>125.27283040102608</v>
      </c>
      <c r="M118">
        <f t="shared" si="3"/>
        <v>101.69648466746713</v>
      </c>
      <c r="N118">
        <f t="shared" si="5"/>
        <v>23.576345733558952</v>
      </c>
      <c r="O118">
        <f t="shared" si="4"/>
        <v>116.90671830296179</v>
      </c>
      <c r="P118">
        <f t="shared" si="6"/>
        <v>111.97136388881907</v>
      </c>
      <c r="Q118">
        <f t="shared" si="7"/>
        <v>4.9353544141427221</v>
      </c>
    </row>
    <row r="119" spans="1:17" x14ac:dyDescent="0.25">
      <c r="A119">
        <v>29.07</v>
      </c>
      <c r="B119">
        <v>119.75</v>
      </c>
      <c r="C119">
        <v>113.6</v>
      </c>
      <c r="D119">
        <v>114</v>
      </c>
      <c r="E119" t="s">
        <v>12</v>
      </c>
      <c r="F119">
        <v>0</v>
      </c>
      <c r="G119">
        <v>0</v>
      </c>
      <c r="H119">
        <v>1</v>
      </c>
      <c r="I119">
        <v>0</v>
      </c>
      <c r="J119">
        <v>0</v>
      </c>
      <c r="L119">
        <f t="shared" si="2"/>
        <v>125.27283040102608</v>
      </c>
      <c r="M119">
        <f t="shared" si="3"/>
        <v>101.69648466746713</v>
      </c>
      <c r="N119">
        <f t="shared" si="5"/>
        <v>23.576345733558952</v>
      </c>
      <c r="O119">
        <f t="shared" si="4"/>
        <v>116.90671830296179</v>
      </c>
      <c r="P119">
        <f t="shared" si="6"/>
        <v>111.97136388881907</v>
      </c>
      <c r="Q119">
        <f t="shared" si="7"/>
        <v>4.9353544141427221</v>
      </c>
    </row>
    <row r="120" spans="1:17" x14ac:dyDescent="0.25">
      <c r="A120">
        <v>29.32</v>
      </c>
      <c r="B120">
        <v>102.13</v>
      </c>
      <c r="C120">
        <v>117</v>
      </c>
      <c r="D120">
        <v>114</v>
      </c>
      <c r="E120" t="s">
        <v>13</v>
      </c>
      <c r="F120">
        <v>0</v>
      </c>
      <c r="G120">
        <v>1</v>
      </c>
      <c r="H120">
        <v>1</v>
      </c>
      <c r="I120">
        <v>0</v>
      </c>
      <c r="J120">
        <v>0</v>
      </c>
      <c r="L120">
        <f t="shared" si="2"/>
        <v>125.27283040102608</v>
      </c>
      <c r="M120">
        <f t="shared" si="3"/>
        <v>101.69648466746713</v>
      </c>
      <c r="N120">
        <f t="shared" si="5"/>
        <v>23.576345733558952</v>
      </c>
      <c r="O120">
        <f t="shared" si="4"/>
        <v>116.90671830296179</v>
      </c>
      <c r="P120">
        <f t="shared" si="6"/>
        <v>111.97136388881907</v>
      </c>
      <c r="Q120">
        <f t="shared" si="7"/>
        <v>4.9353544141427221</v>
      </c>
    </row>
    <row r="121" spans="1:17" x14ac:dyDescent="0.25">
      <c r="A121">
        <v>29.57</v>
      </c>
      <c r="B121">
        <v>99.05</v>
      </c>
      <c r="C121">
        <v>111.8</v>
      </c>
      <c r="D121">
        <v>114</v>
      </c>
      <c r="E121" t="s">
        <v>12</v>
      </c>
      <c r="F121">
        <v>0</v>
      </c>
      <c r="G121">
        <v>0</v>
      </c>
      <c r="H121">
        <v>1</v>
      </c>
      <c r="I121">
        <v>0</v>
      </c>
      <c r="J121">
        <v>0</v>
      </c>
      <c r="L121">
        <f t="shared" si="2"/>
        <v>125.27283040102608</v>
      </c>
      <c r="M121">
        <f t="shared" si="3"/>
        <v>101.69648466746713</v>
      </c>
      <c r="N121">
        <f t="shared" si="5"/>
        <v>23.576345733558952</v>
      </c>
      <c r="O121">
        <f t="shared" si="4"/>
        <v>116.90671830296179</v>
      </c>
      <c r="P121">
        <f t="shared" si="6"/>
        <v>111.97136388881907</v>
      </c>
      <c r="Q121">
        <f t="shared" si="7"/>
        <v>4.9353544141427221</v>
      </c>
    </row>
    <row r="122" spans="1:17" x14ac:dyDescent="0.25">
      <c r="A122">
        <v>29.83</v>
      </c>
      <c r="B122">
        <v>125.38</v>
      </c>
      <c r="C122">
        <v>112.7</v>
      </c>
      <c r="D122">
        <v>114</v>
      </c>
      <c r="E122" t="s">
        <v>12</v>
      </c>
      <c r="F122">
        <v>0</v>
      </c>
      <c r="G122">
        <v>0</v>
      </c>
      <c r="H122">
        <v>1</v>
      </c>
      <c r="I122">
        <v>0</v>
      </c>
      <c r="J122">
        <v>0</v>
      </c>
      <c r="L122">
        <f t="shared" si="2"/>
        <v>125.27283040102608</v>
      </c>
      <c r="M122">
        <f t="shared" si="3"/>
        <v>101.69648466746713</v>
      </c>
      <c r="N122">
        <f t="shared" si="5"/>
        <v>23.576345733558952</v>
      </c>
      <c r="O122">
        <f t="shared" si="4"/>
        <v>116.90671830296179</v>
      </c>
      <c r="P122">
        <f t="shared" si="6"/>
        <v>111.97136388881907</v>
      </c>
      <c r="Q122">
        <f t="shared" si="7"/>
        <v>4.9353544141427221</v>
      </c>
    </row>
    <row r="123" spans="1:17" x14ac:dyDescent="0.25">
      <c r="A123">
        <v>30.08</v>
      </c>
      <c r="B123">
        <v>108.76</v>
      </c>
      <c r="C123">
        <v>114.2</v>
      </c>
      <c r="D123">
        <v>114</v>
      </c>
      <c r="E123" t="s">
        <v>12</v>
      </c>
      <c r="F123">
        <v>0</v>
      </c>
      <c r="G123">
        <v>0</v>
      </c>
      <c r="H123">
        <v>1</v>
      </c>
      <c r="I123">
        <v>0</v>
      </c>
      <c r="J123">
        <v>0</v>
      </c>
      <c r="L123">
        <f t="shared" si="2"/>
        <v>125.27283040102608</v>
      </c>
      <c r="M123">
        <f t="shared" si="3"/>
        <v>101.69648466746713</v>
      </c>
      <c r="N123">
        <f t="shared" si="5"/>
        <v>23.576345733558952</v>
      </c>
      <c r="O123">
        <f t="shared" si="4"/>
        <v>116.90671830296179</v>
      </c>
      <c r="P123">
        <f t="shared" si="6"/>
        <v>111.97136388881907</v>
      </c>
      <c r="Q123">
        <f t="shared" si="7"/>
        <v>4.9353544141427221</v>
      </c>
    </row>
    <row r="124" spans="1:17" x14ac:dyDescent="0.25">
      <c r="A124">
        <v>30.33</v>
      </c>
      <c r="B124">
        <v>119.81</v>
      </c>
      <c r="C124">
        <v>109.9</v>
      </c>
      <c r="D124">
        <v>114</v>
      </c>
      <c r="E124" t="s">
        <v>11</v>
      </c>
      <c r="F124">
        <v>1</v>
      </c>
      <c r="G124">
        <v>0</v>
      </c>
      <c r="H124">
        <v>1</v>
      </c>
      <c r="I124">
        <v>0</v>
      </c>
      <c r="J124">
        <v>0</v>
      </c>
      <c r="L124">
        <f t="shared" si="2"/>
        <v>125.27283040102608</v>
      </c>
      <c r="M124">
        <f t="shared" si="3"/>
        <v>101.69648466746713</v>
      </c>
      <c r="N124">
        <f t="shared" si="5"/>
        <v>23.576345733558952</v>
      </c>
      <c r="O124">
        <f t="shared" si="4"/>
        <v>116.90671830296179</v>
      </c>
      <c r="P124">
        <f t="shared" si="6"/>
        <v>111.97136388881907</v>
      </c>
      <c r="Q124">
        <f t="shared" si="7"/>
        <v>4.9353544141427221</v>
      </c>
    </row>
    <row r="125" spans="1:17" x14ac:dyDescent="0.25">
      <c r="A125">
        <v>30.58</v>
      </c>
      <c r="B125">
        <v>127.18</v>
      </c>
      <c r="C125">
        <v>114</v>
      </c>
      <c r="D125">
        <v>114</v>
      </c>
      <c r="E125" t="s">
        <v>12</v>
      </c>
      <c r="F125">
        <v>0</v>
      </c>
      <c r="G125">
        <v>0</v>
      </c>
      <c r="H125">
        <v>1</v>
      </c>
      <c r="I125">
        <v>0</v>
      </c>
      <c r="J125">
        <v>0</v>
      </c>
      <c r="L125">
        <f t="shared" si="2"/>
        <v>125.27283040102608</v>
      </c>
      <c r="M125">
        <f t="shared" si="3"/>
        <v>101.69648466746713</v>
      </c>
      <c r="N125">
        <f t="shared" si="5"/>
        <v>23.576345733558952</v>
      </c>
      <c r="O125">
        <f t="shared" si="4"/>
        <v>116.90671830296179</v>
      </c>
      <c r="P125">
        <f t="shared" si="6"/>
        <v>111.97136388881907</v>
      </c>
      <c r="Q125">
        <f t="shared" si="7"/>
        <v>4.9353544141427221</v>
      </c>
    </row>
    <row r="126" spans="1:17" x14ac:dyDescent="0.25">
      <c r="A126">
        <v>30.84</v>
      </c>
      <c r="B126">
        <v>106.42</v>
      </c>
      <c r="C126">
        <v>108.2</v>
      </c>
      <c r="D126">
        <v>114</v>
      </c>
      <c r="E126" t="s">
        <v>12</v>
      </c>
      <c r="F126">
        <v>0</v>
      </c>
      <c r="G126">
        <v>0</v>
      </c>
      <c r="H126">
        <v>1</v>
      </c>
      <c r="I126">
        <v>0</v>
      </c>
      <c r="J126">
        <v>0</v>
      </c>
      <c r="L126">
        <f t="shared" si="2"/>
        <v>125.27283040102608</v>
      </c>
      <c r="M126">
        <f t="shared" si="3"/>
        <v>101.69648466746713</v>
      </c>
      <c r="N126">
        <f t="shared" si="5"/>
        <v>23.576345733558952</v>
      </c>
      <c r="O126">
        <f t="shared" si="4"/>
        <v>116.90671830296179</v>
      </c>
      <c r="P126">
        <f t="shared" si="6"/>
        <v>111.97136388881907</v>
      </c>
      <c r="Q126">
        <f t="shared" si="7"/>
        <v>4.9353544141427221</v>
      </c>
    </row>
    <row r="127" spans="1:17" x14ac:dyDescent="0.25">
      <c r="A127">
        <v>31.09</v>
      </c>
      <c r="B127">
        <v>126.91</v>
      </c>
      <c r="C127">
        <v>113.1</v>
      </c>
      <c r="D127">
        <v>114</v>
      </c>
      <c r="E127" t="s">
        <v>12</v>
      </c>
      <c r="F127">
        <v>0</v>
      </c>
      <c r="G127">
        <v>0</v>
      </c>
      <c r="H127">
        <v>1</v>
      </c>
      <c r="I127">
        <v>0</v>
      </c>
      <c r="J127">
        <v>0</v>
      </c>
      <c r="L127">
        <f t="shared" si="2"/>
        <v>125.27283040102608</v>
      </c>
      <c r="M127">
        <f t="shared" si="3"/>
        <v>101.69648466746713</v>
      </c>
      <c r="N127">
        <f t="shared" si="5"/>
        <v>23.576345733558952</v>
      </c>
      <c r="O127">
        <f t="shared" si="4"/>
        <v>116.90671830296179</v>
      </c>
      <c r="P127">
        <f t="shared" si="6"/>
        <v>111.97136388881907</v>
      </c>
      <c r="Q127">
        <f t="shared" si="7"/>
        <v>4.9353544141427221</v>
      </c>
    </row>
    <row r="128" spans="1:17" x14ac:dyDescent="0.25">
      <c r="A128">
        <v>31.34</v>
      </c>
      <c r="B128">
        <v>93.44</v>
      </c>
      <c r="C128">
        <v>114.3</v>
      </c>
      <c r="D128">
        <v>114</v>
      </c>
      <c r="E128" t="s">
        <v>12</v>
      </c>
      <c r="F128">
        <v>0</v>
      </c>
      <c r="G128">
        <v>0</v>
      </c>
      <c r="H128">
        <v>1</v>
      </c>
      <c r="I128">
        <v>0</v>
      </c>
      <c r="J128">
        <v>0</v>
      </c>
      <c r="L128">
        <f t="shared" si="2"/>
        <v>125.27283040102608</v>
      </c>
      <c r="M128">
        <f t="shared" si="3"/>
        <v>101.69648466746713</v>
      </c>
      <c r="N128">
        <f t="shared" si="5"/>
        <v>23.576345733558952</v>
      </c>
      <c r="O128">
        <f t="shared" si="4"/>
        <v>116.90671830296179</v>
      </c>
      <c r="P128">
        <f t="shared" si="6"/>
        <v>111.97136388881907</v>
      </c>
      <c r="Q128">
        <f t="shared" si="7"/>
        <v>4.9353544141427221</v>
      </c>
    </row>
    <row r="129" spans="1:17" x14ac:dyDescent="0.25">
      <c r="A129">
        <v>31.6</v>
      </c>
      <c r="B129">
        <v>107.78</v>
      </c>
      <c r="C129">
        <v>111.2</v>
      </c>
      <c r="D129">
        <v>114</v>
      </c>
      <c r="E129" t="s">
        <v>12</v>
      </c>
      <c r="F129">
        <v>0</v>
      </c>
      <c r="G129">
        <v>0</v>
      </c>
      <c r="H129">
        <v>1</v>
      </c>
      <c r="I129">
        <v>0</v>
      </c>
      <c r="J129">
        <v>0</v>
      </c>
      <c r="L129">
        <f t="shared" si="2"/>
        <v>125.27283040102608</v>
      </c>
      <c r="M129">
        <f t="shared" si="3"/>
        <v>101.69648466746713</v>
      </c>
      <c r="N129">
        <f t="shared" si="5"/>
        <v>23.576345733558952</v>
      </c>
      <c r="O129">
        <f t="shared" si="4"/>
        <v>116.90671830296179</v>
      </c>
      <c r="P129">
        <f t="shared" si="6"/>
        <v>111.97136388881907</v>
      </c>
      <c r="Q129">
        <f t="shared" si="7"/>
        <v>4.9353544141427221</v>
      </c>
    </row>
    <row r="130" spans="1:17" x14ac:dyDescent="0.25">
      <c r="A130">
        <v>31.85</v>
      </c>
      <c r="B130">
        <v>127.67</v>
      </c>
      <c r="C130">
        <v>116.5</v>
      </c>
      <c r="D130">
        <v>114</v>
      </c>
      <c r="E130" t="s">
        <v>12</v>
      </c>
      <c r="F130">
        <v>0</v>
      </c>
      <c r="G130">
        <v>0</v>
      </c>
      <c r="H130">
        <v>1</v>
      </c>
      <c r="I130">
        <v>0</v>
      </c>
      <c r="J130">
        <v>0</v>
      </c>
      <c r="L130">
        <f t="shared" ref="L130:L193" si="8">$R$103+$R$100</f>
        <v>125.27283040102608</v>
      </c>
      <c r="M130">
        <f t="shared" ref="M130:M193" si="9">$R$103-$R$100</f>
        <v>101.69648466746713</v>
      </c>
      <c r="N130">
        <f t="shared" si="5"/>
        <v>23.576345733558952</v>
      </c>
      <c r="O130">
        <f t="shared" si="4"/>
        <v>116.90671830296179</v>
      </c>
      <c r="P130">
        <f t="shared" si="6"/>
        <v>111.97136388881907</v>
      </c>
      <c r="Q130">
        <f t="shared" si="7"/>
        <v>4.9353544141427221</v>
      </c>
    </row>
    <row r="131" spans="1:17" x14ac:dyDescent="0.25">
      <c r="A131">
        <v>32.1</v>
      </c>
      <c r="B131">
        <v>90.27</v>
      </c>
      <c r="C131">
        <v>112.6</v>
      </c>
      <c r="D131">
        <v>114</v>
      </c>
      <c r="E131" t="s">
        <v>12</v>
      </c>
      <c r="F131">
        <v>0</v>
      </c>
      <c r="G131">
        <v>0</v>
      </c>
      <c r="H131">
        <v>1</v>
      </c>
      <c r="I131">
        <v>0</v>
      </c>
      <c r="J131">
        <v>0</v>
      </c>
      <c r="L131">
        <f t="shared" si="8"/>
        <v>125.27283040102608</v>
      </c>
      <c r="M131">
        <f t="shared" si="9"/>
        <v>101.69648466746713</v>
      </c>
      <c r="N131">
        <f t="shared" si="5"/>
        <v>23.576345733558952</v>
      </c>
      <c r="O131">
        <f t="shared" si="4"/>
        <v>116.90671830296179</v>
      </c>
      <c r="P131">
        <f t="shared" si="6"/>
        <v>111.97136388881907</v>
      </c>
      <c r="Q131">
        <f t="shared" si="7"/>
        <v>4.9353544141427221</v>
      </c>
    </row>
    <row r="132" spans="1:17" x14ac:dyDescent="0.25">
      <c r="A132">
        <v>32.35</v>
      </c>
      <c r="B132">
        <v>114.91</v>
      </c>
      <c r="C132">
        <v>112.7</v>
      </c>
      <c r="D132">
        <v>114</v>
      </c>
      <c r="E132" t="s">
        <v>12</v>
      </c>
      <c r="F132">
        <v>0</v>
      </c>
      <c r="G132">
        <v>0</v>
      </c>
      <c r="H132">
        <v>1</v>
      </c>
      <c r="I132">
        <v>0</v>
      </c>
      <c r="J132">
        <v>0</v>
      </c>
      <c r="L132">
        <f t="shared" si="8"/>
        <v>125.27283040102608</v>
      </c>
      <c r="M132">
        <f t="shared" si="9"/>
        <v>101.69648466746713</v>
      </c>
      <c r="N132">
        <f t="shared" si="5"/>
        <v>23.576345733558952</v>
      </c>
      <c r="O132">
        <f t="shared" si="4"/>
        <v>116.90671830296179</v>
      </c>
      <c r="P132">
        <f t="shared" si="6"/>
        <v>111.97136388881907</v>
      </c>
      <c r="Q132">
        <f t="shared" si="7"/>
        <v>4.9353544141427221</v>
      </c>
    </row>
    <row r="133" spans="1:17" x14ac:dyDescent="0.25">
      <c r="A133">
        <v>32.61</v>
      </c>
      <c r="B133">
        <v>101.9</v>
      </c>
      <c r="C133">
        <v>115.5</v>
      </c>
      <c r="D133">
        <v>114</v>
      </c>
      <c r="E133" t="s">
        <v>12</v>
      </c>
      <c r="F133">
        <v>0</v>
      </c>
      <c r="G133">
        <v>0</v>
      </c>
      <c r="H133">
        <v>1</v>
      </c>
      <c r="I133">
        <v>0</v>
      </c>
      <c r="J133">
        <v>0</v>
      </c>
      <c r="L133">
        <f t="shared" si="8"/>
        <v>125.27283040102608</v>
      </c>
      <c r="M133">
        <f t="shared" si="9"/>
        <v>101.69648466746713</v>
      </c>
      <c r="N133">
        <f t="shared" si="5"/>
        <v>23.576345733558952</v>
      </c>
      <c r="O133">
        <f t="shared" si="4"/>
        <v>116.90671830296179</v>
      </c>
      <c r="P133">
        <f t="shared" si="6"/>
        <v>111.97136388881907</v>
      </c>
      <c r="Q133">
        <f t="shared" si="7"/>
        <v>4.9353544141427221</v>
      </c>
    </row>
    <row r="134" spans="1:17" x14ac:dyDescent="0.25">
      <c r="A134">
        <v>32.86</v>
      </c>
      <c r="B134">
        <v>101.29</v>
      </c>
      <c r="C134">
        <v>110.3</v>
      </c>
      <c r="D134">
        <v>114</v>
      </c>
      <c r="E134" t="s">
        <v>12</v>
      </c>
      <c r="F134">
        <v>0</v>
      </c>
      <c r="G134">
        <v>0</v>
      </c>
      <c r="H134">
        <v>1</v>
      </c>
      <c r="I134">
        <v>0</v>
      </c>
      <c r="J134">
        <v>0</v>
      </c>
      <c r="L134">
        <f t="shared" si="8"/>
        <v>125.27283040102608</v>
      </c>
      <c r="M134">
        <f t="shared" si="9"/>
        <v>101.69648466746713</v>
      </c>
      <c r="N134">
        <f t="shared" si="5"/>
        <v>23.576345733558952</v>
      </c>
      <c r="O134">
        <f t="shared" si="4"/>
        <v>116.90671830296179</v>
      </c>
      <c r="P134">
        <f t="shared" si="6"/>
        <v>111.97136388881907</v>
      </c>
      <c r="Q134">
        <f t="shared" si="7"/>
        <v>4.9353544141427221</v>
      </c>
    </row>
    <row r="135" spans="1:17" x14ac:dyDescent="0.25">
      <c r="A135">
        <v>33.11</v>
      </c>
      <c r="B135">
        <v>136.1</v>
      </c>
      <c r="C135">
        <v>113.2</v>
      </c>
      <c r="D135">
        <v>114</v>
      </c>
      <c r="E135" t="s">
        <v>12</v>
      </c>
      <c r="F135">
        <v>0</v>
      </c>
      <c r="G135">
        <v>0</v>
      </c>
      <c r="H135">
        <v>1</v>
      </c>
      <c r="I135">
        <v>0</v>
      </c>
      <c r="J135">
        <v>0</v>
      </c>
      <c r="L135">
        <f t="shared" si="8"/>
        <v>125.27283040102608</v>
      </c>
      <c r="M135">
        <f t="shared" si="9"/>
        <v>101.69648466746713</v>
      </c>
      <c r="N135">
        <f t="shared" si="5"/>
        <v>23.576345733558952</v>
      </c>
      <c r="O135">
        <f t="shared" si="4"/>
        <v>116.90671830296179</v>
      </c>
      <c r="P135">
        <f t="shared" si="6"/>
        <v>111.97136388881907</v>
      </c>
      <c r="Q135">
        <f t="shared" si="7"/>
        <v>4.9353544141427221</v>
      </c>
    </row>
    <row r="136" spans="1:17" x14ac:dyDescent="0.25">
      <c r="A136">
        <v>33.36</v>
      </c>
      <c r="B136">
        <v>113.72</v>
      </c>
      <c r="C136">
        <v>116.2</v>
      </c>
      <c r="D136">
        <v>114</v>
      </c>
      <c r="E136" t="s">
        <v>13</v>
      </c>
      <c r="F136">
        <v>0</v>
      </c>
      <c r="G136">
        <v>1</v>
      </c>
      <c r="H136">
        <v>1</v>
      </c>
      <c r="I136">
        <v>0</v>
      </c>
      <c r="J136">
        <v>0</v>
      </c>
      <c r="L136">
        <f t="shared" si="8"/>
        <v>125.27283040102608</v>
      </c>
      <c r="M136">
        <f t="shared" si="9"/>
        <v>101.69648466746713</v>
      </c>
      <c r="N136">
        <f t="shared" si="5"/>
        <v>23.576345733558952</v>
      </c>
      <c r="O136">
        <f t="shared" ref="O136:O199" si="10">$S$103+$S$100</f>
        <v>116.90671830296179</v>
      </c>
      <c r="P136">
        <f t="shared" si="6"/>
        <v>111.97136388881907</v>
      </c>
      <c r="Q136">
        <f t="shared" si="7"/>
        <v>4.9353544141427221</v>
      </c>
    </row>
    <row r="137" spans="1:17" x14ac:dyDescent="0.25">
      <c r="A137">
        <v>33.61</v>
      </c>
      <c r="B137">
        <v>133.56</v>
      </c>
      <c r="C137">
        <v>114</v>
      </c>
      <c r="D137">
        <v>114</v>
      </c>
      <c r="E137" t="s">
        <v>12</v>
      </c>
      <c r="F137">
        <v>0</v>
      </c>
      <c r="G137">
        <v>0</v>
      </c>
      <c r="H137">
        <v>1</v>
      </c>
      <c r="I137">
        <v>0</v>
      </c>
      <c r="J137">
        <v>0</v>
      </c>
      <c r="L137">
        <f t="shared" si="8"/>
        <v>125.27283040102608</v>
      </c>
      <c r="M137">
        <f t="shared" si="9"/>
        <v>101.69648466746713</v>
      </c>
      <c r="N137">
        <f t="shared" si="5"/>
        <v>23.576345733558952</v>
      </c>
      <c r="O137">
        <f t="shared" si="10"/>
        <v>116.90671830296179</v>
      </c>
      <c r="P137">
        <f t="shared" si="6"/>
        <v>111.97136388881907</v>
      </c>
      <c r="Q137">
        <f t="shared" si="7"/>
        <v>4.9353544141427221</v>
      </c>
    </row>
    <row r="138" spans="1:17" x14ac:dyDescent="0.25">
      <c r="A138">
        <v>33.869999999999997</v>
      </c>
      <c r="B138">
        <v>118.37</v>
      </c>
      <c r="C138">
        <v>119.3</v>
      </c>
      <c r="D138">
        <v>114</v>
      </c>
      <c r="E138" t="s">
        <v>12</v>
      </c>
      <c r="F138">
        <v>0</v>
      </c>
      <c r="G138">
        <v>0</v>
      </c>
      <c r="H138">
        <v>1</v>
      </c>
      <c r="I138">
        <v>0</v>
      </c>
      <c r="J138">
        <v>0</v>
      </c>
      <c r="L138">
        <f t="shared" si="8"/>
        <v>125.27283040102608</v>
      </c>
      <c r="M138">
        <f t="shared" si="9"/>
        <v>101.69648466746713</v>
      </c>
      <c r="N138">
        <f t="shared" si="5"/>
        <v>23.576345733558952</v>
      </c>
      <c r="O138">
        <f t="shared" si="10"/>
        <v>116.90671830296179</v>
      </c>
      <c r="P138">
        <f t="shared" si="6"/>
        <v>111.97136388881907</v>
      </c>
      <c r="Q138">
        <f t="shared" si="7"/>
        <v>4.9353544141427221</v>
      </c>
    </row>
    <row r="139" spans="1:17" x14ac:dyDescent="0.25">
      <c r="A139">
        <v>34.119999999999997</v>
      </c>
      <c r="B139">
        <v>107.85</v>
      </c>
      <c r="C139">
        <v>117.2</v>
      </c>
      <c r="D139">
        <v>114</v>
      </c>
      <c r="E139" t="s">
        <v>12</v>
      </c>
      <c r="F139">
        <v>0</v>
      </c>
      <c r="G139">
        <v>0</v>
      </c>
      <c r="H139">
        <v>1</v>
      </c>
      <c r="I139">
        <v>0</v>
      </c>
      <c r="J139">
        <v>0</v>
      </c>
      <c r="L139">
        <f t="shared" si="8"/>
        <v>125.27283040102608</v>
      </c>
      <c r="M139">
        <f t="shared" si="9"/>
        <v>101.69648466746713</v>
      </c>
      <c r="N139">
        <f t="shared" si="5"/>
        <v>23.576345733558952</v>
      </c>
      <c r="O139">
        <f t="shared" si="10"/>
        <v>116.90671830296179</v>
      </c>
      <c r="P139">
        <f t="shared" si="6"/>
        <v>111.97136388881907</v>
      </c>
      <c r="Q139">
        <f t="shared" si="7"/>
        <v>4.9353544141427221</v>
      </c>
    </row>
    <row r="140" spans="1:17" x14ac:dyDescent="0.25">
      <c r="A140">
        <v>34.369999999999997</v>
      </c>
      <c r="B140">
        <v>108.83</v>
      </c>
      <c r="C140">
        <v>117.1</v>
      </c>
      <c r="D140">
        <v>114</v>
      </c>
      <c r="E140" t="s">
        <v>13</v>
      </c>
      <c r="F140">
        <v>0</v>
      </c>
      <c r="G140">
        <v>1</v>
      </c>
      <c r="H140">
        <v>1</v>
      </c>
      <c r="I140">
        <v>0</v>
      </c>
      <c r="J140">
        <v>0</v>
      </c>
      <c r="L140">
        <f t="shared" si="8"/>
        <v>125.27283040102608</v>
      </c>
      <c r="M140">
        <f t="shared" si="9"/>
        <v>101.69648466746713</v>
      </c>
      <c r="N140">
        <f t="shared" si="5"/>
        <v>23.576345733558952</v>
      </c>
      <c r="O140">
        <f t="shared" si="10"/>
        <v>116.90671830296179</v>
      </c>
      <c r="P140">
        <f t="shared" si="6"/>
        <v>111.97136388881907</v>
      </c>
      <c r="Q140">
        <f t="shared" si="7"/>
        <v>4.9353544141427221</v>
      </c>
    </row>
    <row r="141" spans="1:17" x14ac:dyDescent="0.25">
      <c r="A141">
        <v>34.619999999999997</v>
      </c>
      <c r="B141">
        <v>94.77</v>
      </c>
      <c r="C141">
        <v>114.3</v>
      </c>
      <c r="D141">
        <v>114</v>
      </c>
      <c r="E141" t="s">
        <v>12</v>
      </c>
      <c r="F141">
        <v>0</v>
      </c>
      <c r="G141">
        <v>0</v>
      </c>
      <c r="H141">
        <v>1</v>
      </c>
      <c r="I141">
        <v>0</v>
      </c>
      <c r="J141">
        <v>0</v>
      </c>
      <c r="L141">
        <f t="shared" si="8"/>
        <v>125.27283040102608</v>
      </c>
      <c r="M141">
        <f t="shared" si="9"/>
        <v>101.69648466746713</v>
      </c>
      <c r="N141">
        <f t="shared" si="5"/>
        <v>23.576345733558952</v>
      </c>
      <c r="O141">
        <f t="shared" si="10"/>
        <v>116.90671830296179</v>
      </c>
      <c r="P141">
        <f t="shared" si="6"/>
        <v>111.97136388881907</v>
      </c>
      <c r="Q141">
        <f t="shared" si="7"/>
        <v>4.9353544141427221</v>
      </c>
    </row>
    <row r="142" spans="1:17" x14ac:dyDescent="0.25">
      <c r="A142">
        <v>34.880000000000003</v>
      </c>
      <c r="B142">
        <v>118.99</v>
      </c>
      <c r="C142">
        <v>111.2</v>
      </c>
      <c r="D142">
        <v>114</v>
      </c>
      <c r="E142" t="s">
        <v>12</v>
      </c>
      <c r="F142">
        <v>0</v>
      </c>
      <c r="G142">
        <v>0</v>
      </c>
      <c r="H142">
        <v>1</v>
      </c>
      <c r="I142">
        <v>0</v>
      </c>
      <c r="J142">
        <v>0</v>
      </c>
      <c r="L142">
        <f t="shared" si="8"/>
        <v>125.27283040102608</v>
      </c>
      <c r="M142">
        <f t="shared" si="9"/>
        <v>101.69648466746713</v>
      </c>
      <c r="N142">
        <f t="shared" si="5"/>
        <v>23.576345733558952</v>
      </c>
      <c r="O142">
        <f t="shared" si="10"/>
        <v>116.90671830296179</v>
      </c>
      <c r="P142">
        <f t="shared" si="6"/>
        <v>111.97136388881907</v>
      </c>
      <c r="Q142">
        <f t="shared" si="7"/>
        <v>4.9353544141427221</v>
      </c>
    </row>
    <row r="143" spans="1:17" x14ac:dyDescent="0.25">
      <c r="A143">
        <v>35.130000000000003</v>
      </c>
      <c r="B143">
        <v>110.8</v>
      </c>
      <c r="C143">
        <v>114.7</v>
      </c>
      <c r="D143">
        <v>114</v>
      </c>
      <c r="E143" t="s">
        <v>12</v>
      </c>
      <c r="F143">
        <v>0</v>
      </c>
      <c r="G143">
        <v>0</v>
      </c>
      <c r="H143">
        <v>1</v>
      </c>
      <c r="I143">
        <v>0</v>
      </c>
      <c r="J143">
        <v>0</v>
      </c>
      <c r="L143">
        <f t="shared" si="8"/>
        <v>125.27283040102608</v>
      </c>
      <c r="M143">
        <f t="shared" si="9"/>
        <v>101.69648466746713</v>
      </c>
      <c r="N143">
        <f t="shared" si="5"/>
        <v>23.576345733558952</v>
      </c>
      <c r="O143">
        <f t="shared" si="10"/>
        <v>116.90671830296179</v>
      </c>
      <c r="P143">
        <f t="shared" si="6"/>
        <v>111.97136388881907</v>
      </c>
      <c r="Q143">
        <f t="shared" si="7"/>
        <v>4.9353544141427221</v>
      </c>
    </row>
    <row r="144" spans="1:17" x14ac:dyDescent="0.25">
      <c r="A144">
        <v>35.380000000000003</v>
      </c>
      <c r="B144">
        <v>118.51</v>
      </c>
      <c r="C144">
        <v>113.4</v>
      </c>
      <c r="D144">
        <v>114</v>
      </c>
      <c r="E144" t="s">
        <v>12</v>
      </c>
      <c r="F144">
        <v>0</v>
      </c>
      <c r="G144">
        <v>0</v>
      </c>
      <c r="H144">
        <v>1</v>
      </c>
      <c r="I144">
        <v>0</v>
      </c>
      <c r="J144">
        <v>0</v>
      </c>
      <c r="L144">
        <f t="shared" si="8"/>
        <v>125.27283040102608</v>
      </c>
      <c r="M144">
        <f t="shared" si="9"/>
        <v>101.69648466746713</v>
      </c>
      <c r="N144">
        <f t="shared" si="5"/>
        <v>23.576345733558952</v>
      </c>
      <c r="O144">
        <f t="shared" si="10"/>
        <v>116.90671830296179</v>
      </c>
      <c r="P144">
        <f t="shared" si="6"/>
        <v>111.97136388881907</v>
      </c>
      <c r="Q144">
        <f t="shared" si="7"/>
        <v>4.9353544141427221</v>
      </c>
    </row>
    <row r="145" spans="1:17" x14ac:dyDescent="0.25">
      <c r="A145">
        <v>35.64</v>
      </c>
      <c r="B145">
        <v>130.77000000000001</v>
      </c>
      <c r="C145">
        <v>115.6</v>
      </c>
      <c r="D145">
        <v>114</v>
      </c>
      <c r="E145" t="s">
        <v>12</v>
      </c>
      <c r="F145">
        <v>0</v>
      </c>
      <c r="G145">
        <v>0</v>
      </c>
      <c r="H145">
        <v>1</v>
      </c>
      <c r="I145">
        <v>0</v>
      </c>
      <c r="J145">
        <v>0</v>
      </c>
      <c r="L145">
        <f t="shared" si="8"/>
        <v>125.27283040102608</v>
      </c>
      <c r="M145">
        <f t="shared" si="9"/>
        <v>101.69648466746713</v>
      </c>
      <c r="N145">
        <f t="shared" si="5"/>
        <v>23.576345733558952</v>
      </c>
      <c r="O145">
        <f t="shared" si="10"/>
        <v>116.90671830296179</v>
      </c>
      <c r="P145">
        <f t="shared" si="6"/>
        <v>111.97136388881907</v>
      </c>
      <c r="Q145">
        <f t="shared" si="7"/>
        <v>4.9353544141427221</v>
      </c>
    </row>
    <row r="146" spans="1:17" x14ac:dyDescent="0.25">
      <c r="A146">
        <v>35.89</v>
      </c>
      <c r="B146">
        <v>118.48</v>
      </c>
      <c r="C146">
        <v>115.8</v>
      </c>
      <c r="D146">
        <v>114</v>
      </c>
      <c r="E146" t="s">
        <v>12</v>
      </c>
      <c r="F146">
        <v>0</v>
      </c>
      <c r="G146">
        <v>0</v>
      </c>
      <c r="H146">
        <v>1</v>
      </c>
      <c r="I146">
        <v>0</v>
      </c>
      <c r="J146">
        <v>0</v>
      </c>
      <c r="L146">
        <f t="shared" si="8"/>
        <v>125.27283040102608</v>
      </c>
      <c r="M146">
        <f t="shared" si="9"/>
        <v>101.69648466746713</v>
      </c>
      <c r="N146">
        <f t="shared" si="5"/>
        <v>23.576345733558952</v>
      </c>
      <c r="O146">
        <f t="shared" si="10"/>
        <v>116.90671830296179</v>
      </c>
      <c r="P146">
        <f t="shared" si="6"/>
        <v>111.97136388881907</v>
      </c>
      <c r="Q146">
        <f t="shared" si="7"/>
        <v>4.9353544141427221</v>
      </c>
    </row>
    <row r="147" spans="1:17" x14ac:dyDescent="0.25">
      <c r="A147">
        <v>36.14</v>
      </c>
      <c r="B147">
        <v>109.66</v>
      </c>
      <c r="C147">
        <v>112.2</v>
      </c>
      <c r="D147">
        <v>114</v>
      </c>
      <c r="E147" t="s">
        <v>12</v>
      </c>
      <c r="F147">
        <v>0</v>
      </c>
      <c r="G147">
        <v>0</v>
      </c>
      <c r="H147">
        <v>1</v>
      </c>
      <c r="I147">
        <v>0</v>
      </c>
      <c r="J147">
        <v>0</v>
      </c>
      <c r="L147">
        <f t="shared" si="8"/>
        <v>125.27283040102608</v>
      </c>
      <c r="M147">
        <f t="shared" si="9"/>
        <v>101.69648466746713</v>
      </c>
      <c r="N147">
        <f t="shared" si="5"/>
        <v>23.576345733558952</v>
      </c>
      <c r="O147">
        <f t="shared" si="10"/>
        <v>116.90671830296179</v>
      </c>
      <c r="P147">
        <f t="shared" si="6"/>
        <v>111.97136388881907</v>
      </c>
      <c r="Q147">
        <f t="shared" si="7"/>
        <v>4.9353544141427221</v>
      </c>
    </row>
    <row r="148" spans="1:17" x14ac:dyDescent="0.25">
      <c r="A148">
        <v>36.39</v>
      </c>
      <c r="B148">
        <v>114.11</v>
      </c>
      <c r="C148">
        <v>115.8</v>
      </c>
      <c r="D148">
        <v>114</v>
      </c>
      <c r="E148" t="s">
        <v>12</v>
      </c>
      <c r="F148">
        <v>0</v>
      </c>
      <c r="G148">
        <v>0</v>
      </c>
      <c r="H148">
        <v>1</v>
      </c>
      <c r="I148">
        <v>0</v>
      </c>
      <c r="J148">
        <v>0</v>
      </c>
      <c r="L148">
        <f t="shared" si="8"/>
        <v>125.27283040102608</v>
      </c>
      <c r="M148">
        <f t="shared" si="9"/>
        <v>101.69648466746713</v>
      </c>
      <c r="N148">
        <f t="shared" si="5"/>
        <v>23.576345733558952</v>
      </c>
      <c r="O148">
        <f t="shared" si="10"/>
        <v>116.90671830296179</v>
      </c>
      <c r="P148">
        <f t="shared" si="6"/>
        <v>111.97136388881907</v>
      </c>
      <c r="Q148">
        <f t="shared" si="7"/>
        <v>4.9353544141427221</v>
      </c>
    </row>
    <row r="149" spans="1:17" x14ac:dyDescent="0.25">
      <c r="A149">
        <v>36.64</v>
      </c>
      <c r="B149">
        <v>92.93</v>
      </c>
      <c r="C149">
        <v>114.6</v>
      </c>
      <c r="D149">
        <v>114</v>
      </c>
      <c r="E149" t="s">
        <v>12</v>
      </c>
      <c r="F149">
        <v>0</v>
      </c>
      <c r="G149">
        <v>0</v>
      </c>
      <c r="H149">
        <v>1</v>
      </c>
      <c r="I149">
        <v>0</v>
      </c>
      <c r="J149">
        <v>0</v>
      </c>
      <c r="L149">
        <f t="shared" si="8"/>
        <v>125.27283040102608</v>
      </c>
      <c r="M149">
        <f t="shared" si="9"/>
        <v>101.69648466746713</v>
      </c>
      <c r="N149">
        <f t="shared" si="5"/>
        <v>23.576345733558952</v>
      </c>
      <c r="O149">
        <f t="shared" si="10"/>
        <v>116.90671830296179</v>
      </c>
      <c r="P149">
        <f t="shared" si="6"/>
        <v>111.97136388881907</v>
      </c>
      <c r="Q149">
        <f t="shared" si="7"/>
        <v>4.9353544141427221</v>
      </c>
    </row>
    <row r="150" spans="1:17" x14ac:dyDescent="0.25">
      <c r="A150">
        <v>36.89</v>
      </c>
      <c r="B150">
        <v>119.08</v>
      </c>
      <c r="C150">
        <v>114</v>
      </c>
      <c r="D150">
        <v>114</v>
      </c>
      <c r="E150" t="s">
        <v>12</v>
      </c>
      <c r="F150">
        <v>0</v>
      </c>
      <c r="G150">
        <v>0</v>
      </c>
      <c r="H150">
        <v>1</v>
      </c>
      <c r="I150">
        <v>0</v>
      </c>
      <c r="J150">
        <v>0</v>
      </c>
      <c r="L150">
        <f t="shared" si="8"/>
        <v>125.27283040102608</v>
      </c>
      <c r="M150">
        <f t="shared" si="9"/>
        <v>101.69648466746713</v>
      </c>
      <c r="N150">
        <f t="shared" si="5"/>
        <v>23.576345733558952</v>
      </c>
      <c r="O150">
        <f t="shared" si="10"/>
        <v>116.90671830296179</v>
      </c>
      <c r="P150">
        <f t="shared" si="6"/>
        <v>111.97136388881907</v>
      </c>
      <c r="Q150">
        <f t="shared" si="7"/>
        <v>4.9353544141427221</v>
      </c>
    </row>
    <row r="151" spans="1:17" x14ac:dyDescent="0.25">
      <c r="A151">
        <v>37.15</v>
      </c>
      <c r="B151">
        <v>100.25</v>
      </c>
      <c r="C151">
        <v>115</v>
      </c>
      <c r="D151">
        <v>114</v>
      </c>
      <c r="E151" t="s">
        <v>12</v>
      </c>
      <c r="F151">
        <v>0</v>
      </c>
      <c r="G151">
        <v>0</v>
      </c>
      <c r="H151">
        <v>1</v>
      </c>
      <c r="I151">
        <v>0</v>
      </c>
      <c r="J151">
        <v>0</v>
      </c>
      <c r="L151">
        <f t="shared" si="8"/>
        <v>125.27283040102608</v>
      </c>
      <c r="M151">
        <f t="shared" si="9"/>
        <v>101.69648466746713</v>
      </c>
      <c r="N151">
        <f t="shared" si="5"/>
        <v>23.576345733558952</v>
      </c>
      <c r="O151">
        <f t="shared" si="10"/>
        <v>116.90671830296179</v>
      </c>
      <c r="P151">
        <f t="shared" si="6"/>
        <v>111.97136388881907</v>
      </c>
      <c r="Q151">
        <f t="shared" si="7"/>
        <v>4.9353544141427221</v>
      </c>
    </row>
    <row r="152" spans="1:17" x14ac:dyDescent="0.25">
      <c r="A152">
        <v>37.4</v>
      </c>
      <c r="B152">
        <v>109</v>
      </c>
      <c r="C152">
        <v>108.5</v>
      </c>
      <c r="D152">
        <v>114</v>
      </c>
      <c r="E152" t="s">
        <v>11</v>
      </c>
      <c r="F152">
        <v>1</v>
      </c>
      <c r="G152">
        <v>0</v>
      </c>
      <c r="H152">
        <v>1</v>
      </c>
      <c r="I152">
        <v>0</v>
      </c>
      <c r="J152">
        <v>0</v>
      </c>
      <c r="L152">
        <f t="shared" si="8"/>
        <v>125.27283040102608</v>
      </c>
      <c r="M152">
        <f t="shared" si="9"/>
        <v>101.69648466746713</v>
      </c>
      <c r="N152">
        <f t="shared" si="5"/>
        <v>23.576345733558952</v>
      </c>
      <c r="O152">
        <f t="shared" si="10"/>
        <v>116.90671830296179</v>
      </c>
      <c r="P152">
        <f t="shared" si="6"/>
        <v>111.97136388881907</v>
      </c>
      <c r="Q152">
        <f t="shared" si="7"/>
        <v>4.9353544141427221</v>
      </c>
    </row>
    <row r="153" spans="1:17" x14ac:dyDescent="0.25">
      <c r="A153">
        <v>37.65</v>
      </c>
      <c r="B153">
        <v>105.67</v>
      </c>
      <c r="C153">
        <v>115.5</v>
      </c>
      <c r="D153">
        <v>114</v>
      </c>
      <c r="E153" t="s">
        <v>12</v>
      </c>
      <c r="F153">
        <v>0</v>
      </c>
      <c r="G153">
        <v>0</v>
      </c>
      <c r="H153">
        <v>1</v>
      </c>
      <c r="I153">
        <v>0</v>
      </c>
      <c r="J153">
        <v>0</v>
      </c>
      <c r="L153">
        <f t="shared" si="8"/>
        <v>125.27283040102608</v>
      </c>
      <c r="M153">
        <f t="shared" si="9"/>
        <v>101.69648466746713</v>
      </c>
      <c r="N153">
        <f t="shared" si="5"/>
        <v>23.576345733558952</v>
      </c>
      <c r="O153">
        <f t="shared" si="10"/>
        <v>116.90671830296179</v>
      </c>
      <c r="P153">
        <f t="shared" si="6"/>
        <v>111.97136388881907</v>
      </c>
      <c r="Q153">
        <f t="shared" si="7"/>
        <v>4.9353544141427221</v>
      </c>
    </row>
    <row r="154" spans="1:17" x14ac:dyDescent="0.25">
      <c r="A154">
        <v>37.9</v>
      </c>
      <c r="B154">
        <v>110.13</v>
      </c>
      <c r="C154">
        <v>112.1</v>
      </c>
      <c r="D154">
        <v>114</v>
      </c>
      <c r="E154" t="s">
        <v>12</v>
      </c>
      <c r="F154">
        <v>0</v>
      </c>
      <c r="G154">
        <v>0</v>
      </c>
      <c r="H154">
        <v>1</v>
      </c>
      <c r="I154">
        <v>0</v>
      </c>
      <c r="J154">
        <v>0</v>
      </c>
      <c r="L154">
        <f t="shared" si="8"/>
        <v>125.27283040102608</v>
      </c>
      <c r="M154">
        <f t="shared" si="9"/>
        <v>101.69648466746713</v>
      </c>
      <c r="N154">
        <f t="shared" si="5"/>
        <v>23.576345733558952</v>
      </c>
      <c r="O154">
        <f t="shared" si="10"/>
        <v>116.90671830296179</v>
      </c>
      <c r="P154">
        <f t="shared" si="6"/>
        <v>111.97136388881907</v>
      </c>
      <c r="Q154">
        <f t="shared" si="7"/>
        <v>4.9353544141427221</v>
      </c>
    </row>
    <row r="155" spans="1:17" x14ac:dyDescent="0.25">
      <c r="A155">
        <v>38.159999999999997</v>
      </c>
      <c r="B155">
        <v>134.96</v>
      </c>
      <c r="C155">
        <v>110.4</v>
      </c>
      <c r="D155">
        <v>114</v>
      </c>
      <c r="E155" t="s">
        <v>12</v>
      </c>
      <c r="F155">
        <v>0</v>
      </c>
      <c r="G155">
        <v>0</v>
      </c>
      <c r="H155">
        <v>1</v>
      </c>
      <c r="I155">
        <v>0</v>
      </c>
      <c r="J155">
        <v>0</v>
      </c>
      <c r="L155">
        <f t="shared" si="8"/>
        <v>125.27283040102608</v>
      </c>
      <c r="M155">
        <f t="shared" si="9"/>
        <v>101.69648466746713</v>
      </c>
      <c r="N155">
        <f t="shared" ref="N155:N218" si="11">L155-M155</f>
        <v>23.576345733558952</v>
      </c>
      <c r="O155">
        <f t="shared" si="10"/>
        <v>116.90671830296179</v>
      </c>
      <c r="P155">
        <f t="shared" ref="P155:P218" si="12">$S$103-$S$100</f>
        <v>111.97136388881907</v>
      </c>
      <c r="Q155">
        <f t="shared" ref="Q155:Q218" si="13">O155-P155</f>
        <v>4.9353544141427221</v>
      </c>
    </row>
    <row r="156" spans="1:17" x14ac:dyDescent="0.25">
      <c r="A156">
        <v>38.42</v>
      </c>
      <c r="B156">
        <v>106</v>
      </c>
      <c r="C156">
        <v>113.5</v>
      </c>
      <c r="D156">
        <v>114</v>
      </c>
      <c r="E156" t="s">
        <v>12</v>
      </c>
      <c r="F156">
        <v>0</v>
      </c>
      <c r="G156">
        <v>0</v>
      </c>
      <c r="H156">
        <v>1</v>
      </c>
      <c r="I156">
        <v>0</v>
      </c>
      <c r="J156">
        <v>0</v>
      </c>
      <c r="L156">
        <f t="shared" si="8"/>
        <v>125.27283040102608</v>
      </c>
      <c r="M156">
        <f t="shared" si="9"/>
        <v>101.69648466746713</v>
      </c>
      <c r="N156">
        <f t="shared" si="11"/>
        <v>23.576345733558952</v>
      </c>
      <c r="O156">
        <f t="shared" si="10"/>
        <v>116.90671830296179</v>
      </c>
      <c r="P156">
        <f t="shared" si="12"/>
        <v>111.97136388881907</v>
      </c>
      <c r="Q156">
        <f t="shared" si="13"/>
        <v>4.9353544141427221</v>
      </c>
    </row>
    <row r="157" spans="1:17" x14ac:dyDescent="0.25">
      <c r="A157">
        <v>38.659999999999997</v>
      </c>
      <c r="B157">
        <v>99.71</v>
      </c>
      <c r="C157">
        <v>110.1</v>
      </c>
      <c r="D157">
        <v>114</v>
      </c>
      <c r="E157" t="s">
        <v>11</v>
      </c>
      <c r="F157">
        <v>1</v>
      </c>
      <c r="G157">
        <v>0</v>
      </c>
      <c r="H157">
        <v>1</v>
      </c>
      <c r="I157">
        <v>0</v>
      </c>
      <c r="J157">
        <v>0</v>
      </c>
      <c r="L157">
        <f t="shared" si="8"/>
        <v>125.27283040102608</v>
      </c>
      <c r="M157">
        <f t="shared" si="9"/>
        <v>101.69648466746713</v>
      </c>
      <c r="N157">
        <f t="shared" si="11"/>
        <v>23.576345733558952</v>
      </c>
      <c r="O157">
        <f t="shared" si="10"/>
        <v>116.90671830296179</v>
      </c>
      <c r="P157">
        <f t="shared" si="12"/>
        <v>111.97136388881907</v>
      </c>
      <c r="Q157">
        <f t="shared" si="13"/>
        <v>4.9353544141427221</v>
      </c>
    </row>
    <row r="158" spans="1:17" x14ac:dyDescent="0.25">
      <c r="A158">
        <v>38.909999999999997</v>
      </c>
      <c r="B158">
        <v>112.51</v>
      </c>
      <c r="C158">
        <v>115.4</v>
      </c>
      <c r="D158">
        <v>114</v>
      </c>
      <c r="E158" t="s">
        <v>12</v>
      </c>
      <c r="F158">
        <v>0</v>
      </c>
      <c r="G158">
        <v>0</v>
      </c>
      <c r="H158">
        <v>1</v>
      </c>
      <c r="I158">
        <v>0</v>
      </c>
      <c r="J158">
        <v>0</v>
      </c>
      <c r="L158">
        <f t="shared" si="8"/>
        <v>125.27283040102608</v>
      </c>
      <c r="M158">
        <f t="shared" si="9"/>
        <v>101.69648466746713</v>
      </c>
      <c r="N158">
        <f t="shared" si="11"/>
        <v>23.576345733558952</v>
      </c>
      <c r="O158">
        <f t="shared" si="10"/>
        <v>116.90671830296179</v>
      </c>
      <c r="P158">
        <f t="shared" si="12"/>
        <v>111.97136388881907</v>
      </c>
      <c r="Q158">
        <f t="shared" si="13"/>
        <v>4.9353544141427221</v>
      </c>
    </row>
    <row r="159" spans="1:17" x14ac:dyDescent="0.25">
      <c r="A159">
        <v>39.159999999999997</v>
      </c>
      <c r="B159">
        <v>89.86</v>
      </c>
      <c r="C159">
        <v>113.7</v>
      </c>
      <c r="D159">
        <v>114</v>
      </c>
      <c r="E159" t="s">
        <v>12</v>
      </c>
      <c r="F159">
        <v>0</v>
      </c>
      <c r="G159">
        <v>0</v>
      </c>
      <c r="H159">
        <v>1</v>
      </c>
      <c r="I159">
        <v>0</v>
      </c>
      <c r="J159">
        <v>0</v>
      </c>
      <c r="L159">
        <f t="shared" si="8"/>
        <v>125.27283040102608</v>
      </c>
      <c r="M159">
        <f t="shared" si="9"/>
        <v>101.69648466746713</v>
      </c>
      <c r="N159">
        <f t="shared" si="11"/>
        <v>23.576345733558952</v>
      </c>
      <c r="O159">
        <f t="shared" si="10"/>
        <v>116.90671830296179</v>
      </c>
      <c r="P159">
        <f t="shared" si="12"/>
        <v>111.97136388881907</v>
      </c>
      <c r="Q159">
        <f t="shared" si="13"/>
        <v>4.9353544141427221</v>
      </c>
    </row>
    <row r="160" spans="1:17" x14ac:dyDescent="0.25">
      <c r="A160">
        <v>39.42</v>
      </c>
      <c r="B160">
        <v>105.42</v>
      </c>
      <c r="C160">
        <v>111.6</v>
      </c>
      <c r="D160">
        <v>114</v>
      </c>
      <c r="E160" t="s">
        <v>12</v>
      </c>
      <c r="F160">
        <v>0</v>
      </c>
      <c r="G160">
        <v>0</v>
      </c>
      <c r="H160">
        <v>1</v>
      </c>
      <c r="I160">
        <v>0</v>
      </c>
      <c r="J160">
        <v>0</v>
      </c>
      <c r="L160">
        <f t="shared" si="8"/>
        <v>125.27283040102608</v>
      </c>
      <c r="M160">
        <f t="shared" si="9"/>
        <v>101.69648466746713</v>
      </c>
      <c r="N160">
        <f t="shared" si="11"/>
        <v>23.576345733558952</v>
      </c>
      <c r="O160">
        <f t="shared" si="10"/>
        <v>116.90671830296179</v>
      </c>
      <c r="P160">
        <f t="shared" si="12"/>
        <v>111.97136388881907</v>
      </c>
      <c r="Q160">
        <f t="shared" si="13"/>
        <v>4.9353544141427221</v>
      </c>
    </row>
    <row r="161" spans="1:17" x14ac:dyDescent="0.25">
      <c r="A161">
        <v>39.67</v>
      </c>
      <c r="B161">
        <v>122.55</v>
      </c>
      <c r="C161">
        <v>115.3</v>
      </c>
      <c r="D161">
        <v>114</v>
      </c>
      <c r="E161" t="s">
        <v>12</v>
      </c>
      <c r="F161">
        <v>0</v>
      </c>
      <c r="G161">
        <v>0</v>
      </c>
      <c r="H161">
        <v>1</v>
      </c>
      <c r="I161">
        <v>0</v>
      </c>
      <c r="J161">
        <v>0</v>
      </c>
      <c r="L161">
        <f t="shared" si="8"/>
        <v>125.27283040102608</v>
      </c>
      <c r="M161">
        <f t="shared" si="9"/>
        <v>101.69648466746713</v>
      </c>
      <c r="N161">
        <f t="shared" si="11"/>
        <v>23.576345733558952</v>
      </c>
      <c r="O161">
        <f t="shared" si="10"/>
        <v>116.90671830296179</v>
      </c>
      <c r="P161">
        <f t="shared" si="12"/>
        <v>111.97136388881907</v>
      </c>
      <c r="Q161">
        <f t="shared" si="13"/>
        <v>4.9353544141427221</v>
      </c>
    </row>
    <row r="162" spans="1:17" x14ac:dyDescent="0.25">
      <c r="A162">
        <v>39.92</v>
      </c>
      <c r="B162">
        <v>91.74</v>
      </c>
      <c r="C162">
        <v>108.9</v>
      </c>
      <c r="D162">
        <v>114</v>
      </c>
      <c r="E162" t="s">
        <v>11</v>
      </c>
      <c r="F162">
        <v>1</v>
      </c>
      <c r="G162">
        <v>0</v>
      </c>
      <c r="H162">
        <v>1</v>
      </c>
      <c r="I162">
        <v>0</v>
      </c>
      <c r="J162">
        <v>0</v>
      </c>
      <c r="L162">
        <f t="shared" si="8"/>
        <v>125.27283040102608</v>
      </c>
      <c r="M162">
        <f t="shared" si="9"/>
        <v>101.69648466746713</v>
      </c>
      <c r="N162">
        <f t="shared" si="11"/>
        <v>23.576345733558952</v>
      </c>
      <c r="O162">
        <f t="shared" si="10"/>
        <v>116.90671830296179</v>
      </c>
      <c r="P162">
        <f t="shared" si="12"/>
        <v>111.97136388881907</v>
      </c>
      <c r="Q162">
        <f t="shared" si="13"/>
        <v>4.9353544141427221</v>
      </c>
    </row>
    <row r="163" spans="1:17" x14ac:dyDescent="0.25">
      <c r="A163">
        <v>40.17</v>
      </c>
      <c r="B163">
        <v>138.82</v>
      </c>
      <c r="C163">
        <v>113.3</v>
      </c>
      <c r="D163">
        <v>114</v>
      </c>
      <c r="E163" t="s">
        <v>12</v>
      </c>
      <c r="F163">
        <v>0</v>
      </c>
      <c r="G163">
        <v>0</v>
      </c>
      <c r="H163">
        <v>1</v>
      </c>
      <c r="I163">
        <v>0</v>
      </c>
      <c r="J163">
        <v>0</v>
      </c>
      <c r="L163">
        <f t="shared" si="8"/>
        <v>125.27283040102608</v>
      </c>
      <c r="M163">
        <f t="shared" si="9"/>
        <v>101.69648466746713</v>
      </c>
      <c r="N163">
        <f t="shared" si="11"/>
        <v>23.576345733558952</v>
      </c>
      <c r="O163">
        <f t="shared" si="10"/>
        <v>116.90671830296179</v>
      </c>
      <c r="P163">
        <f t="shared" si="12"/>
        <v>111.97136388881907</v>
      </c>
      <c r="Q163">
        <f t="shared" si="13"/>
        <v>4.9353544141427221</v>
      </c>
    </row>
    <row r="164" spans="1:17" x14ac:dyDescent="0.25">
      <c r="A164">
        <v>40.42</v>
      </c>
      <c r="B164">
        <v>96.47</v>
      </c>
      <c r="C164">
        <v>114.2</v>
      </c>
      <c r="D164">
        <v>114</v>
      </c>
      <c r="E164" t="s">
        <v>12</v>
      </c>
      <c r="F164">
        <v>0</v>
      </c>
      <c r="G164">
        <v>0</v>
      </c>
      <c r="H164">
        <v>1</v>
      </c>
      <c r="I164">
        <v>0</v>
      </c>
      <c r="J164">
        <v>0</v>
      </c>
      <c r="L164">
        <f t="shared" si="8"/>
        <v>125.27283040102608</v>
      </c>
      <c r="M164">
        <f t="shared" si="9"/>
        <v>101.69648466746713</v>
      </c>
      <c r="N164">
        <f t="shared" si="11"/>
        <v>23.576345733558952</v>
      </c>
      <c r="O164">
        <f t="shared" si="10"/>
        <v>116.90671830296179</v>
      </c>
      <c r="P164">
        <f t="shared" si="12"/>
        <v>111.97136388881907</v>
      </c>
      <c r="Q164">
        <f t="shared" si="13"/>
        <v>4.9353544141427221</v>
      </c>
    </row>
    <row r="165" spans="1:17" x14ac:dyDescent="0.25">
      <c r="A165">
        <v>40.68</v>
      </c>
      <c r="B165">
        <v>129.47999999999999</v>
      </c>
      <c r="C165">
        <v>109.9</v>
      </c>
      <c r="D165">
        <v>114</v>
      </c>
      <c r="E165" t="s">
        <v>12</v>
      </c>
      <c r="F165">
        <v>0</v>
      </c>
      <c r="G165">
        <v>0</v>
      </c>
      <c r="H165">
        <v>1</v>
      </c>
      <c r="I165">
        <v>0</v>
      </c>
      <c r="J165">
        <v>0</v>
      </c>
      <c r="L165">
        <f t="shared" si="8"/>
        <v>125.27283040102608</v>
      </c>
      <c r="M165">
        <f t="shared" si="9"/>
        <v>101.69648466746713</v>
      </c>
      <c r="N165">
        <f t="shared" si="11"/>
        <v>23.576345733558952</v>
      </c>
      <c r="O165">
        <f t="shared" si="10"/>
        <v>116.90671830296179</v>
      </c>
      <c r="P165">
        <f t="shared" si="12"/>
        <v>111.97136388881907</v>
      </c>
      <c r="Q165">
        <f t="shared" si="13"/>
        <v>4.9353544141427221</v>
      </c>
    </row>
    <row r="166" spans="1:17" x14ac:dyDescent="0.25">
      <c r="A166">
        <v>40.93</v>
      </c>
      <c r="B166">
        <v>115.93</v>
      </c>
      <c r="C166">
        <v>115.8</v>
      </c>
      <c r="D166">
        <v>114</v>
      </c>
      <c r="E166" t="s">
        <v>12</v>
      </c>
      <c r="F166">
        <v>0</v>
      </c>
      <c r="G166">
        <v>0</v>
      </c>
      <c r="H166">
        <v>1</v>
      </c>
      <c r="I166">
        <v>0</v>
      </c>
      <c r="J166">
        <v>0</v>
      </c>
      <c r="L166">
        <f t="shared" si="8"/>
        <v>125.27283040102608</v>
      </c>
      <c r="M166">
        <f t="shared" si="9"/>
        <v>101.69648466746713</v>
      </c>
      <c r="N166">
        <f t="shared" si="11"/>
        <v>23.576345733558952</v>
      </c>
      <c r="O166">
        <f t="shared" si="10"/>
        <v>116.90671830296179</v>
      </c>
      <c r="P166">
        <f t="shared" si="12"/>
        <v>111.97136388881907</v>
      </c>
      <c r="Q166">
        <f t="shared" si="13"/>
        <v>4.9353544141427221</v>
      </c>
    </row>
    <row r="167" spans="1:17" x14ac:dyDescent="0.25">
      <c r="A167">
        <v>41.18</v>
      </c>
      <c r="B167">
        <v>100.66</v>
      </c>
      <c r="C167">
        <v>115.1</v>
      </c>
      <c r="D167">
        <v>114</v>
      </c>
      <c r="E167" t="s">
        <v>12</v>
      </c>
      <c r="F167">
        <v>0</v>
      </c>
      <c r="G167">
        <v>0</v>
      </c>
      <c r="H167">
        <v>1</v>
      </c>
      <c r="I167">
        <v>0</v>
      </c>
      <c r="J167">
        <v>0</v>
      </c>
      <c r="L167">
        <f t="shared" si="8"/>
        <v>125.27283040102608</v>
      </c>
      <c r="M167">
        <f t="shared" si="9"/>
        <v>101.69648466746713</v>
      </c>
      <c r="N167">
        <f t="shared" si="11"/>
        <v>23.576345733558952</v>
      </c>
      <c r="O167">
        <f t="shared" si="10"/>
        <v>116.90671830296179</v>
      </c>
      <c r="P167">
        <f t="shared" si="12"/>
        <v>111.97136388881907</v>
      </c>
      <c r="Q167">
        <f t="shared" si="13"/>
        <v>4.9353544141427221</v>
      </c>
    </row>
    <row r="168" spans="1:17" x14ac:dyDescent="0.25">
      <c r="A168">
        <v>41.44</v>
      </c>
      <c r="B168">
        <v>136.21</v>
      </c>
      <c r="C168">
        <v>114.2</v>
      </c>
      <c r="D168">
        <v>114</v>
      </c>
      <c r="E168" t="s">
        <v>12</v>
      </c>
      <c r="F168">
        <v>0</v>
      </c>
      <c r="G168">
        <v>0</v>
      </c>
      <c r="H168">
        <v>1</v>
      </c>
      <c r="I168">
        <v>0</v>
      </c>
      <c r="J168">
        <v>0</v>
      </c>
      <c r="L168">
        <f t="shared" si="8"/>
        <v>125.27283040102608</v>
      </c>
      <c r="M168">
        <f t="shared" si="9"/>
        <v>101.69648466746713</v>
      </c>
      <c r="N168">
        <f t="shared" si="11"/>
        <v>23.576345733558952</v>
      </c>
      <c r="O168">
        <f t="shared" si="10"/>
        <v>116.90671830296179</v>
      </c>
      <c r="P168">
        <f t="shared" si="12"/>
        <v>111.97136388881907</v>
      </c>
      <c r="Q168">
        <f t="shared" si="13"/>
        <v>4.9353544141427221</v>
      </c>
    </row>
    <row r="169" spans="1:17" x14ac:dyDescent="0.25">
      <c r="A169">
        <v>41.69</v>
      </c>
      <c r="B169">
        <v>110.12</v>
      </c>
      <c r="C169">
        <v>117.6</v>
      </c>
      <c r="D169">
        <v>114</v>
      </c>
      <c r="E169" t="s">
        <v>13</v>
      </c>
      <c r="F169">
        <v>0</v>
      </c>
      <c r="G169">
        <v>1</v>
      </c>
      <c r="H169">
        <v>1</v>
      </c>
      <c r="I169">
        <v>0</v>
      </c>
      <c r="J169">
        <v>0</v>
      </c>
      <c r="L169">
        <f t="shared" si="8"/>
        <v>125.27283040102608</v>
      </c>
      <c r="M169">
        <f t="shared" si="9"/>
        <v>101.69648466746713</v>
      </c>
      <c r="N169">
        <f t="shared" si="11"/>
        <v>23.576345733558952</v>
      </c>
      <c r="O169">
        <f t="shared" si="10"/>
        <v>116.90671830296179</v>
      </c>
      <c r="P169">
        <f t="shared" si="12"/>
        <v>111.97136388881907</v>
      </c>
      <c r="Q169">
        <f t="shared" si="13"/>
        <v>4.9353544141427221</v>
      </c>
    </row>
    <row r="170" spans="1:17" x14ac:dyDescent="0.25">
      <c r="A170">
        <v>41.94</v>
      </c>
      <c r="B170">
        <v>123.19</v>
      </c>
      <c r="C170">
        <v>115.7</v>
      </c>
      <c r="D170">
        <v>114</v>
      </c>
      <c r="E170" t="s">
        <v>12</v>
      </c>
      <c r="F170">
        <v>0</v>
      </c>
      <c r="G170">
        <v>0</v>
      </c>
      <c r="H170">
        <v>1</v>
      </c>
      <c r="I170">
        <v>0</v>
      </c>
      <c r="J170">
        <v>0</v>
      </c>
      <c r="L170">
        <f t="shared" si="8"/>
        <v>125.27283040102608</v>
      </c>
      <c r="M170">
        <f t="shared" si="9"/>
        <v>101.69648466746713</v>
      </c>
      <c r="N170">
        <f t="shared" si="11"/>
        <v>23.576345733558952</v>
      </c>
      <c r="O170">
        <f t="shared" si="10"/>
        <v>116.90671830296179</v>
      </c>
      <c r="P170">
        <f t="shared" si="12"/>
        <v>111.97136388881907</v>
      </c>
      <c r="Q170">
        <f t="shared" si="13"/>
        <v>4.9353544141427221</v>
      </c>
    </row>
    <row r="171" spans="1:17" x14ac:dyDescent="0.25">
      <c r="A171">
        <v>42.19</v>
      </c>
      <c r="B171">
        <v>136.18</v>
      </c>
      <c r="C171">
        <v>118.2</v>
      </c>
      <c r="D171">
        <v>114</v>
      </c>
      <c r="E171" t="s">
        <v>12</v>
      </c>
      <c r="F171">
        <v>0</v>
      </c>
      <c r="G171">
        <v>0</v>
      </c>
      <c r="H171">
        <v>1</v>
      </c>
      <c r="I171">
        <v>0</v>
      </c>
      <c r="J171">
        <v>0</v>
      </c>
      <c r="L171">
        <f t="shared" si="8"/>
        <v>125.27283040102608</v>
      </c>
      <c r="M171">
        <f t="shared" si="9"/>
        <v>101.69648466746713</v>
      </c>
      <c r="N171">
        <f t="shared" si="11"/>
        <v>23.576345733558952</v>
      </c>
      <c r="O171">
        <f t="shared" si="10"/>
        <v>116.90671830296179</v>
      </c>
      <c r="P171">
        <f t="shared" si="12"/>
        <v>111.97136388881907</v>
      </c>
      <c r="Q171">
        <f t="shared" si="13"/>
        <v>4.9353544141427221</v>
      </c>
    </row>
    <row r="172" spans="1:17" x14ac:dyDescent="0.25">
      <c r="A172">
        <v>42.45</v>
      </c>
      <c r="B172">
        <v>102.92</v>
      </c>
      <c r="C172">
        <v>115.6</v>
      </c>
      <c r="D172">
        <v>114</v>
      </c>
      <c r="E172" t="s">
        <v>12</v>
      </c>
      <c r="F172">
        <v>0</v>
      </c>
      <c r="G172">
        <v>0</v>
      </c>
      <c r="H172">
        <v>1</v>
      </c>
      <c r="I172">
        <v>0</v>
      </c>
      <c r="J172">
        <v>0</v>
      </c>
      <c r="L172">
        <f t="shared" si="8"/>
        <v>125.27283040102608</v>
      </c>
      <c r="M172">
        <f t="shared" si="9"/>
        <v>101.69648466746713</v>
      </c>
      <c r="N172">
        <f t="shared" si="11"/>
        <v>23.576345733558952</v>
      </c>
      <c r="O172">
        <f t="shared" si="10"/>
        <v>116.90671830296179</v>
      </c>
      <c r="P172">
        <f t="shared" si="12"/>
        <v>111.97136388881907</v>
      </c>
      <c r="Q172">
        <f t="shared" si="13"/>
        <v>4.9353544141427221</v>
      </c>
    </row>
    <row r="173" spans="1:17" x14ac:dyDescent="0.25">
      <c r="A173">
        <v>42.7</v>
      </c>
      <c r="B173">
        <v>119.06</v>
      </c>
      <c r="C173">
        <v>114.9</v>
      </c>
      <c r="D173">
        <v>114</v>
      </c>
      <c r="E173" t="s">
        <v>12</v>
      </c>
      <c r="F173">
        <v>0</v>
      </c>
      <c r="G173">
        <v>0</v>
      </c>
      <c r="H173">
        <v>1</v>
      </c>
      <c r="I173">
        <v>0</v>
      </c>
      <c r="J173">
        <v>0</v>
      </c>
      <c r="L173">
        <f t="shared" si="8"/>
        <v>125.27283040102608</v>
      </c>
      <c r="M173">
        <f t="shared" si="9"/>
        <v>101.69648466746713</v>
      </c>
      <c r="N173">
        <f t="shared" si="11"/>
        <v>23.576345733558952</v>
      </c>
      <c r="O173">
        <f t="shared" si="10"/>
        <v>116.90671830296179</v>
      </c>
      <c r="P173">
        <f t="shared" si="12"/>
        <v>111.97136388881907</v>
      </c>
      <c r="Q173">
        <f t="shared" si="13"/>
        <v>4.9353544141427221</v>
      </c>
    </row>
    <row r="174" spans="1:17" x14ac:dyDescent="0.25">
      <c r="A174">
        <v>42.96</v>
      </c>
      <c r="B174">
        <v>126.23</v>
      </c>
      <c r="C174">
        <v>116.5</v>
      </c>
      <c r="D174">
        <v>114</v>
      </c>
      <c r="E174" t="s">
        <v>12</v>
      </c>
      <c r="F174">
        <v>0</v>
      </c>
      <c r="G174">
        <v>0</v>
      </c>
      <c r="H174">
        <v>1</v>
      </c>
      <c r="I174">
        <v>0</v>
      </c>
      <c r="J174">
        <v>0</v>
      </c>
      <c r="L174">
        <f t="shared" si="8"/>
        <v>125.27283040102608</v>
      </c>
      <c r="M174">
        <f t="shared" si="9"/>
        <v>101.69648466746713</v>
      </c>
      <c r="N174">
        <f t="shared" si="11"/>
        <v>23.576345733558952</v>
      </c>
      <c r="O174">
        <f t="shared" si="10"/>
        <v>116.90671830296179</v>
      </c>
      <c r="P174">
        <f t="shared" si="12"/>
        <v>111.97136388881907</v>
      </c>
      <c r="Q174">
        <f t="shared" si="13"/>
        <v>4.9353544141427221</v>
      </c>
    </row>
    <row r="175" spans="1:17" x14ac:dyDescent="0.25">
      <c r="A175">
        <v>43.2</v>
      </c>
      <c r="B175">
        <v>119.43</v>
      </c>
      <c r="C175">
        <v>110.4</v>
      </c>
      <c r="D175">
        <v>114</v>
      </c>
      <c r="E175" t="s">
        <v>12</v>
      </c>
      <c r="F175">
        <v>0</v>
      </c>
      <c r="G175">
        <v>0</v>
      </c>
      <c r="H175">
        <v>1</v>
      </c>
      <c r="I175">
        <v>0</v>
      </c>
      <c r="J175">
        <v>0</v>
      </c>
      <c r="L175">
        <f t="shared" si="8"/>
        <v>125.27283040102608</v>
      </c>
      <c r="M175">
        <f t="shared" si="9"/>
        <v>101.69648466746713</v>
      </c>
      <c r="N175">
        <f t="shared" si="11"/>
        <v>23.576345733558952</v>
      </c>
      <c r="O175">
        <f t="shared" si="10"/>
        <v>116.90671830296179</v>
      </c>
      <c r="P175">
        <f t="shared" si="12"/>
        <v>111.97136388881907</v>
      </c>
      <c r="Q175">
        <f t="shared" si="13"/>
        <v>4.9353544141427221</v>
      </c>
    </row>
    <row r="176" spans="1:17" x14ac:dyDescent="0.25">
      <c r="A176">
        <v>43.45</v>
      </c>
      <c r="B176">
        <v>110.29</v>
      </c>
      <c r="C176">
        <v>114.9</v>
      </c>
      <c r="D176">
        <v>114</v>
      </c>
      <c r="E176" t="s">
        <v>12</v>
      </c>
      <c r="F176">
        <v>0</v>
      </c>
      <c r="G176">
        <v>0</v>
      </c>
      <c r="H176">
        <v>1</v>
      </c>
      <c r="I176">
        <v>0</v>
      </c>
      <c r="J176">
        <v>0</v>
      </c>
      <c r="L176">
        <f t="shared" si="8"/>
        <v>125.27283040102608</v>
      </c>
      <c r="M176">
        <f t="shared" si="9"/>
        <v>101.69648466746713</v>
      </c>
      <c r="N176">
        <f t="shared" si="11"/>
        <v>23.576345733558952</v>
      </c>
      <c r="O176">
        <f t="shared" si="10"/>
        <v>116.90671830296179</v>
      </c>
      <c r="P176">
        <f t="shared" si="12"/>
        <v>111.97136388881907</v>
      </c>
      <c r="Q176">
        <f t="shared" si="13"/>
        <v>4.9353544141427221</v>
      </c>
    </row>
    <row r="177" spans="1:17" x14ac:dyDescent="0.25">
      <c r="A177">
        <v>43.71</v>
      </c>
      <c r="B177">
        <v>95.61</v>
      </c>
      <c r="C177">
        <v>114.7</v>
      </c>
      <c r="D177">
        <v>114</v>
      </c>
      <c r="E177" t="s">
        <v>12</v>
      </c>
      <c r="F177">
        <v>0</v>
      </c>
      <c r="G177">
        <v>0</v>
      </c>
      <c r="H177">
        <v>1</v>
      </c>
      <c r="I177">
        <v>0</v>
      </c>
      <c r="J177">
        <v>0</v>
      </c>
      <c r="L177">
        <f t="shared" si="8"/>
        <v>125.27283040102608</v>
      </c>
      <c r="M177">
        <f t="shared" si="9"/>
        <v>101.69648466746713</v>
      </c>
      <c r="N177">
        <f t="shared" si="11"/>
        <v>23.576345733558952</v>
      </c>
      <c r="O177">
        <f t="shared" si="10"/>
        <v>116.90671830296179</v>
      </c>
      <c r="P177">
        <f t="shared" si="12"/>
        <v>111.97136388881907</v>
      </c>
      <c r="Q177">
        <f t="shared" si="13"/>
        <v>4.9353544141427221</v>
      </c>
    </row>
    <row r="178" spans="1:17" x14ac:dyDescent="0.25">
      <c r="A178">
        <v>43.96</v>
      </c>
      <c r="B178">
        <v>130.59</v>
      </c>
      <c r="C178">
        <v>116.2</v>
      </c>
      <c r="D178">
        <v>114</v>
      </c>
      <c r="E178" t="s">
        <v>12</v>
      </c>
      <c r="F178">
        <v>0</v>
      </c>
      <c r="G178">
        <v>0</v>
      </c>
      <c r="H178">
        <v>1</v>
      </c>
      <c r="I178">
        <v>0</v>
      </c>
      <c r="J178">
        <v>0</v>
      </c>
      <c r="L178">
        <f t="shared" si="8"/>
        <v>125.27283040102608</v>
      </c>
      <c r="M178">
        <f t="shared" si="9"/>
        <v>101.69648466746713</v>
      </c>
      <c r="N178">
        <f t="shared" si="11"/>
        <v>23.576345733558952</v>
      </c>
      <c r="O178">
        <f t="shared" si="10"/>
        <v>116.90671830296179</v>
      </c>
      <c r="P178">
        <f t="shared" si="12"/>
        <v>111.97136388881907</v>
      </c>
      <c r="Q178">
        <f t="shared" si="13"/>
        <v>4.9353544141427221</v>
      </c>
    </row>
    <row r="179" spans="1:17" x14ac:dyDescent="0.25">
      <c r="A179">
        <v>44.21</v>
      </c>
      <c r="B179">
        <v>110.69</v>
      </c>
      <c r="C179">
        <v>118.7</v>
      </c>
      <c r="D179">
        <v>114</v>
      </c>
      <c r="E179" t="s">
        <v>12</v>
      </c>
      <c r="F179">
        <v>0</v>
      </c>
      <c r="G179">
        <v>0</v>
      </c>
      <c r="H179">
        <v>1</v>
      </c>
      <c r="I179">
        <v>0</v>
      </c>
      <c r="J179">
        <v>0</v>
      </c>
      <c r="L179">
        <f t="shared" si="8"/>
        <v>125.27283040102608</v>
      </c>
      <c r="M179">
        <f t="shared" si="9"/>
        <v>101.69648466746713</v>
      </c>
      <c r="N179">
        <f t="shared" si="11"/>
        <v>23.576345733558952</v>
      </c>
      <c r="O179">
        <f t="shared" si="10"/>
        <v>116.90671830296179</v>
      </c>
      <c r="P179">
        <f t="shared" si="12"/>
        <v>111.97136388881907</v>
      </c>
      <c r="Q179">
        <f t="shared" si="13"/>
        <v>4.9353544141427221</v>
      </c>
    </row>
    <row r="180" spans="1:17" x14ac:dyDescent="0.25">
      <c r="A180">
        <v>44.47</v>
      </c>
      <c r="B180">
        <v>121.29</v>
      </c>
      <c r="C180">
        <v>115.8</v>
      </c>
      <c r="D180">
        <v>114</v>
      </c>
      <c r="E180" t="s">
        <v>12</v>
      </c>
      <c r="F180">
        <v>0</v>
      </c>
      <c r="G180">
        <v>0</v>
      </c>
      <c r="H180">
        <v>1</v>
      </c>
      <c r="I180">
        <v>0</v>
      </c>
      <c r="J180">
        <v>0</v>
      </c>
      <c r="L180">
        <f t="shared" si="8"/>
        <v>125.27283040102608</v>
      </c>
      <c r="M180">
        <f t="shared" si="9"/>
        <v>101.69648466746713</v>
      </c>
      <c r="N180">
        <f t="shared" si="11"/>
        <v>23.576345733558952</v>
      </c>
      <c r="O180">
        <f t="shared" si="10"/>
        <v>116.90671830296179</v>
      </c>
      <c r="P180">
        <f t="shared" si="12"/>
        <v>111.97136388881907</v>
      </c>
      <c r="Q180">
        <f t="shared" si="13"/>
        <v>4.9353544141427221</v>
      </c>
    </row>
    <row r="181" spans="1:17" x14ac:dyDescent="0.25">
      <c r="A181">
        <v>44.71</v>
      </c>
      <c r="B181">
        <v>132.77000000000001</v>
      </c>
      <c r="C181">
        <v>117.7</v>
      </c>
      <c r="D181">
        <v>114</v>
      </c>
      <c r="E181" t="s">
        <v>13</v>
      </c>
      <c r="F181">
        <v>0</v>
      </c>
      <c r="G181">
        <v>1</v>
      </c>
      <c r="H181">
        <v>1</v>
      </c>
      <c r="I181">
        <v>0</v>
      </c>
      <c r="J181">
        <v>0</v>
      </c>
      <c r="L181">
        <f t="shared" si="8"/>
        <v>125.27283040102608</v>
      </c>
      <c r="M181">
        <f t="shared" si="9"/>
        <v>101.69648466746713</v>
      </c>
      <c r="N181">
        <f t="shared" si="11"/>
        <v>23.576345733558952</v>
      </c>
      <c r="O181">
        <f t="shared" si="10"/>
        <v>116.90671830296179</v>
      </c>
      <c r="P181">
        <f t="shared" si="12"/>
        <v>111.97136388881907</v>
      </c>
      <c r="Q181">
        <f t="shared" si="13"/>
        <v>4.9353544141427221</v>
      </c>
    </row>
    <row r="182" spans="1:17" x14ac:dyDescent="0.25">
      <c r="A182">
        <v>44.96</v>
      </c>
      <c r="B182">
        <v>110.02</v>
      </c>
      <c r="C182">
        <v>117.3</v>
      </c>
      <c r="D182">
        <v>114</v>
      </c>
      <c r="E182" t="s">
        <v>13</v>
      </c>
      <c r="F182">
        <v>0</v>
      </c>
      <c r="G182">
        <v>1</v>
      </c>
      <c r="H182">
        <v>1</v>
      </c>
      <c r="I182">
        <v>0</v>
      </c>
      <c r="J182">
        <v>0</v>
      </c>
      <c r="L182">
        <f t="shared" si="8"/>
        <v>125.27283040102608</v>
      </c>
      <c r="M182">
        <f t="shared" si="9"/>
        <v>101.69648466746713</v>
      </c>
      <c r="N182">
        <f t="shared" si="11"/>
        <v>23.576345733558952</v>
      </c>
      <c r="O182">
        <f t="shared" si="10"/>
        <v>116.90671830296179</v>
      </c>
      <c r="P182">
        <f t="shared" si="12"/>
        <v>111.97136388881907</v>
      </c>
      <c r="Q182">
        <f t="shared" si="13"/>
        <v>4.9353544141427221</v>
      </c>
    </row>
    <row r="183" spans="1:17" x14ac:dyDescent="0.25">
      <c r="A183">
        <v>45.22</v>
      </c>
      <c r="B183">
        <v>126.5</v>
      </c>
      <c r="C183">
        <v>117.2</v>
      </c>
      <c r="D183">
        <v>114</v>
      </c>
      <c r="E183" t="s">
        <v>12</v>
      </c>
      <c r="F183">
        <v>0</v>
      </c>
      <c r="G183">
        <v>0</v>
      </c>
      <c r="H183">
        <v>1</v>
      </c>
      <c r="I183">
        <v>0</v>
      </c>
      <c r="J183">
        <v>0</v>
      </c>
      <c r="L183">
        <f t="shared" si="8"/>
        <v>125.27283040102608</v>
      </c>
      <c r="M183">
        <f t="shared" si="9"/>
        <v>101.69648466746713</v>
      </c>
      <c r="N183">
        <f t="shared" si="11"/>
        <v>23.576345733558952</v>
      </c>
      <c r="O183">
        <f t="shared" si="10"/>
        <v>116.90671830296179</v>
      </c>
      <c r="P183">
        <f t="shared" si="12"/>
        <v>111.97136388881907</v>
      </c>
      <c r="Q183">
        <f t="shared" si="13"/>
        <v>4.9353544141427221</v>
      </c>
    </row>
    <row r="184" spans="1:17" x14ac:dyDescent="0.25">
      <c r="A184">
        <v>45.47</v>
      </c>
      <c r="B184">
        <v>112.25</v>
      </c>
      <c r="C184">
        <v>121.2</v>
      </c>
      <c r="D184">
        <v>114</v>
      </c>
      <c r="E184" t="s">
        <v>12</v>
      </c>
      <c r="F184">
        <v>0</v>
      </c>
      <c r="G184">
        <v>0</v>
      </c>
      <c r="H184">
        <v>1</v>
      </c>
      <c r="I184">
        <v>0</v>
      </c>
      <c r="J184">
        <v>0</v>
      </c>
      <c r="L184">
        <f t="shared" si="8"/>
        <v>125.27283040102608</v>
      </c>
      <c r="M184">
        <f t="shared" si="9"/>
        <v>101.69648466746713</v>
      </c>
      <c r="N184">
        <f t="shared" si="11"/>
        <v>23.576345733558952</v>
      </c>
      <c r="O184">
        <f t="shared" si="10"/>
        <v>116.90671830296179</v>
      </c>
      <c r="P184">
        <f t="shared" si="12"/>
        <v>111.97136388881907</v>
      </c>
      <c r="Q184">
        <f t="shared" si="13"/>
        <v>4.9353544141427221</v>
      </c>
    </row>
    <row r="185" spans="1:17" x14ac:dyDescent="0.25">
      <c r="A185">
        <v>45.72</v>
      </c>
      <c r="B185">
        <v>101.39</v>
      </c>
      <c r="C185">
        <v>118</v>
      </c>
      <c r="D185">
        <v>114</v>
      </c>
      <c r="E185" t="s">
        <v>12</v>
      </c>
      <c r="F185">
        <v>0</v>
      </c>
      <c r="G185">
        <v>0</v>
      </c>
      <c r="H185">
        <v>1</v>
      </c>
      <c r="I185">
        <v>0</v>
      </c>
      <c r="J185">
        <v>0</v>
      </c>
      <c r="L185">
        <f t="shared" si="8"/>
        <v>125.27283040102608</v>
      </c>
      <c r="M185">
        <f t="shared" si="9"/>
        <v>101.69648466746713</v>
      </c>
      <c r="N185">
        <f t="shared" si="11"/>
        <v>23.576345733558952</v>
      </c>
      <c r="O185">
        <f t="shared" si="10"/>
        <v>116.90671830296179</v>
      </c>
      <c r="P185">
        <f t="shared" si="12"/>
        <v>111.97136388881907</v>
      </c>
      <c r="Q185">
        <f t="shared" si="13"/>
        <v>4.9353544141427221</v>
      </c>
    </row>
    <row r="186" spans="1:17" x14ac:dyDescent="0.25">
      <c r="A186">
        <v>45.97</v>
      </c>
      <c r="B186">
        <v>127.7</v>
      </c>
      <c r="C186">
        <v>116.5</v>
      </c>
      <c r="D186">
        <v>114</v>
      </c>
      <c r="E186" t="s">
        <v>13</v>
      </c>
      <c r="F186">
        <v>0</v>
      </c>
      <c r="G186">
        <v>1</v>
      </c>
      <c r="H186">
        <v>1</v>
      </c>
      <c r="I186">
        <v>0</v>
      </c>
      <c r="J186">
        <v>0</v>
      </c>
      <c r="L186">
        <f t="shared" si="8"/>
        <v>125.27283040102608</v>
      </c>
      <c r="M186">
        <f t="shared" si="9"/>
        <v>101.69648466746713</v>
      </c>
      <c r="N186">
        <f t="shared" si="11"/>
        <v>23.576345733558952</v>
      </c>
      <c r="O186">
        <f t="shared" si="10"/>
        <v>116.90671830296179</v>
      </c>
      <c r="P186">
        <f t="shared" si="12"/>
        <v>111.97136388881907</v>
      </c>
      <c r="Q186">
        <f t="shared" si="13"/>
        <v>4.9353544141427221</v>
      </c>
    </row>
    <row r="187" spans="1:17" x14ac:dyDescent="0.25">
      <c r="A187">
        <v>46.23</v>
      </c>
      <c r="B187">
        <v>105.24</v>
      </c>
      <c r="C187">
        <v>116.6</v>
      </c>
      <c r="D187">
        <v>114</v>
      </c>
      <c r="E187" t="s">
        <v>13</v>
      </c>
      <c r="F187">
        <v>0</v>
      </c>
      <c r="G187">
        <v>1</v>
      </c>
      <c r="H187">
        <v>1</v>
      </c>
      <c r="I187">
        <v>0</v>
      </c>
      <c r="J187">
        <v>0</v>
      </c>
      <c r="L187">
        <f t="shared" si="8"/>
        <v>125.27283040102608</v>
      </c>
      <c r="M187">
        <f t="shared" si="9"/>
        <v>101.69648466746713</v>
      </c>
      <c r="N187">
        <f t="shared" si="11"/>
        <v>23.576345733558952</v>
      </c>
      <c r="O187">
        <f t="shared" si="10"/>
        <v>116.90671830296179</v>
      </c>
      <c r="P187">
        <f t="shared" si="12"/>
        <v>111.97136388881907</v>
      </c>
      <c r="Q187">
        <f t="shared" si="13"/>
        <v>4.9353544141427221</v>
      </c>
    </row>
    <row r="188" spans="1:17" x14ac:dyDescent="0.25">
      <c r="A188">
        <v>46.48</v>
      </c>
      <c r="B188">
        <v>121.06</v>
      </c>
      <c r="C188">
        <v>113.2</v>
      </c>
      <c r="D188">
        <v>114</v>
      </c>
      <c r="E188" t="s">
        <v>12</v>
      </c>
      <c r="F188">
        <v>0</v>
      </c>
      <c r="G188">
        <v>0</v>
      </c>
      <c r="H188">
        <v>1</v>
      </c>
      <c r="I188">
        <v>0</v>
      </c>
      <c r="J188">
        <v>0</v>
      </c>
      <c r="L188">
        <f t="shared" si="8"/>
        <v>125.27283040102608</v>
      </c>
      <c r="M188">
        <f t="shared" si="9"/>
        <v>101.69648466746713</v>
      </c>
      <c r="N188">
        <f t="shared" si="11"/>
        <v>23.576345733558952</v>
      </c>
      <c r="O188">
        <f t="shared" si="10"/>
        <v>116.90671830296179</v>
      </c>
      <c r="P188">
        <f t="shared" si="12"/>
        <v>111.97136388881907</v>
      </c>
      <c r="Q188">
        <f t="shared" si="13"/>
        <v>4.9353544141427221</v>
      </c>
    </row>
    <row r="189" spans="1:17" x14ac:dyDescent="0.25">
      <c r="A189">
        <v>46.73</v>
      </c>
      <c r="B189">
        <v>132.75</v>
      </c>
      <c r="C189">
        <v>117.4</v>
      </c>
      <c r="D189">
        <v>114</v>
      </c>
      <c r="E189" t="s">
        <v>12</v>
      </c>
      <c r="F189">
        <v>0</v>
      </c>
      <c r="G189">
        <v>0</v>
      </c>
      <c r="H189">
        <v>1</v>
      </c>
      <c r="I189">
        <v>0</v>
      </c>
      <c r="J189">
        <v>0</v>
      </c>
      <c r="L189">
        <f t="shared" si="8"/>
        <v>125.27283040102608</v>
      </c>
      <c r="M189">
        <f t="shared" si="9"/>
        <v>101.69648466746713</v>
      </c>
      <c r="N189">
        <f t="shared" si="11"/>
        <v>23.576345733558952</v>
      </c>
      <c r="O189">
        <f t="shared" si="10"/>
        <v>116.90671830296179</v>
      </c>
      <c r="P189">
        <f t="shared" si="12"/>
        <v>111.97136388881907</v>
      </c>
      <c r="Q189">
        <f t="shared" si="13"/>
        <v>4.9353544141427221</v>
      </c>
    </row>
    <row r="190" spans="1:17" x14ac:dyDescent="0.25">
      <c r="A190">
        <v>46.98</v>
      </c>
      <c r="B190">
        <v>95.71</v>
      </c>
      <c r="C190">
        <v>115.7</v>
      </c>
      <c r="D190">
        <v>114</v>
      </c>
      <c r="E190" t="s">
        <v>12</v>
      </c>
      <c r="F190">
        <v>0</v>
      </c>
      <c r="G190">
        <v>0</v>
      </c>
      <c r="H190">
        <v>1</v>
      </c>
      <c r="I190">
        <v>0</v>
      </c>
      <c r="J190">
        <v>0</v>
      </c>
      <c r="L190">
        <f t="shared" si="8"/>
        <v>125.27283040102608</v>
      </c>
      <c r="M190">
        <f t="shared" si="9"/>
        <v>101.69648466746713</v>
      </c>
      <c r="N190">
        <f t="shared" si="11"/>
        <v>23.576345733558952</v>
      </c>
      <c r="O190">
        <f t="shared" si="10"/>
        <v>116.90671830296179</v>
      </c>
      <c r="P190">
        <f t="shared" si="12"/>
        <v>111.97136388881907</v>
      </c>
      <c r="Q190">
        <f t="shared" si="13"/>
        <v>4.9353544141427221</v>
      </c>
    </row>
    <row r="191" spans="1:17" x14ac:dyDescent="0.25">
      <c r="A191">
        <v>47.23</v>
      </c>
      <c r="B191">
        <v>128.13999999999999</v>
      </c>
      <c r="C191">
        <v>115.9</v>
      </c>
      <c r="D191">
        <v>114</v>
      </c>
      <c r="E191" t="s">
        <v>12</v>
      </c>
      <c r="F191">
        <v>0</v>
      </c>
      <c r="G191">
        <v>0</v>
      </c>
      <c r="H191">
        <v>1</v>
      </c>
      <c r="I191">
        <v>0</v>
      </c>
      <c r="J191">
        <v>0</v>
      </c>
      <c r="L191">
        <f t="shared" si="8"/>
        <v>125.27283040102608</v>
      </c>
      <c r="M191">
        <f t="shared" si="9"/>
        <v>101.69648466746713</v>
      </c>
      <c r="N191">
        <f t="shared" si="11"/>
        <v>23.576345733558952</v>
      </c>
      <c r="O191">
        <f t="shared" si="10"/>
        <v>116.90671830296179</v>
      </c>
      <c r="P191">
        <f t="shared" si="12"/>
        <v>111.97136388881907</v>
      </c>
      <c r="Q191">
        <f t="shared" si="13"/>
        <v>4.9353544141427221</v>
      </c>
    </row>
    <row r="192" spans="1:17" x14ac:dyDescent="0.25">
      <c r="A192">
        <v>47.49</v>
      </c>
      <c r="B192">
        <v>106.5</v>
      </c>
      <c r="C192">
        <v>116.7</v>
      </c>
      <c r="D192">
        <v>114</v>
      </c>
      <c r="E192" t="s">
        <v>13</v>
      </c>
      <c r="F192">
        <v>0</v>
      </c>
      <c r="G192">
        <v>1</v>
      </c>
      <c r="H192">
        <v>1</v>
      </c>
      <c r="I192">
        <v>0</v>
      </c>
      <c r="J192">
        <v>0</v>
      </c>
      <c r="L192">
        <f t="shared" si="8"/>
        <v>125.27283040102608</v>
      </c>
      <c r="M192">
        <f t="shared" si="9"/>
        <v>101.69648466746713</v>
      </c>
      <c r="N192">
        <f t="shared" si="11"/>
        <v>23.576345733558952</v>
      </c>
      <c r="O192">
        <f t="shared" si="10"/>
        <v>116.90671830296179</v>
      </c>
      <c r="P192">
        <f t="shared" si="12"/>
        <v>111.97136388881907</v>
      </c>
      <c r="Q192">
        <f t="shared" si="13"/>
        <v>4.9353544141427221</v>
      </c>
    </row>
    <row r="193" spans="1:17" x14ac:dyDescent="0.25">
      <c r="A193">
        <v>47.74</v>
      </c>
      <c r="B193">
        <v>105.07</v>
      </c>
      <c r="C193">
        <v>114</v>
      </c>
      <c r="D193">
        <v>114</v>
      </c>
      <c r="E193" t="s">
        <v>12</v>
      </c>
      <c r="F193">
        <v>0</v>
      </c>
      <c r="G193">
        <v>0</v>
      </c>
      <c r="H193">
        <v>1</v>
      </c>
      <c r="I193">
        <v>0</v>
      </c>
      <c r="J193">
        <v>0</v>
      </c>
      <c r="L193">
        <f t="shared" si="8"/>
        <v>125.27283040102608</v>
      </c>
      <c r="M193">
        <f t="shared" si="9"/>
        <v>101.69648466746713</v>
      </c>
      <c r="N193">
        <f t="shared" si="11"/>
        <v>23.576345733558952</v>
      </c>
      <c r="O193">
        <f t="shared" si="10"/>
        <v>116.90671830296179</v>
      </c>
      <c r="P193">
        <f t="shared" si="12"/>
        <v>111.97136388881907</v>
      </c>
      <c r="Q193">
        <f t="shared" si="13"/>
        <v>4.9353544141427221</v>
      </c>
    </row>
    <row r="194" spans="1:17" x14ac:dyDescent="0.25">
      <c r="A194">
        <v>47.99</v>
      </c>
      <c r="B194">
        <v>109.69</v>
      </c>
      <c r="C194">
        <v>116.3</v>
      </c>
      <c r="D194">
        <v>114</v>
      </c>
      <c r="E194" t="s">
        <v>12</v>
      </c>
      <c r="F194">
        <v>0</v>
      </c>
      <c r="G194">
        <v>0</v>
      </c>
      <c r="H194">
        <v>1</v>
      </c>
      <c r="I194">
        <v>0</v>
      </c>
      <c r="J194">
        <v>0</v>
      </c>
      <c r="L194">
        <f t="shared" ref="L194:L257" si="14">$R$103+$R$100</f>
        <v>125.27283040102608</v>
      </c>
      <c r="M194">
        <f t="shared" ref="M194:M257" si="15">$R$103-$R$100</f>
        <v>101.69648466746713</v>
      </c>
      <c r="N194">
        <f t="shared" si="11"/>
        <v>23.576345733558952</v>
      </c>
      <c r="O194">
        <f t="shared" si="10"/>
        <v>116.90671830296179</v>
      </c>
      <c r="P194">
        <f t="shared" si="12"/>
        <v>111.97136388881907</v>
      </c>
      <c r="Q194">
        <f t="shared" si="13"/>
        <v>4.9353544141427221</v>
      </c>
    </row>
    <row r="195" spans="1:17" x14ac:dyDescent="0.25">
      <c r="A195">
        <v>48.24</v>
      </c>
      <c r="B195">
        <v>111.8</v>
      </c>
      <c r="C195">
        <v>116</v>
      </c>
      <c r="D195">
        <v>114</v>
      </c>
      <c r="E195" t="s">
        <v>12</v>
      </c>
      <c r="F195">
        <v>0</v>
      </c>
      <c r="G195">
        <v>0</v>
      </c>
      <c r="H195">
        <v>1</v>
      </c>
      <c r="I195">
        <v>0</v>
      </c>
      <c r="J195">
        <v>0</v>
      </c>
      <c r="L195">
        <f t="shared" si="14"/>
        <v>125.27283040102608</v>
      </c>
      <c r="M195">
        <f t="shared" si="15"/>
        <v>101.69648466746713</v>
      </c>
      <c r="N195">
        <f t="shared" si="11"/>
        <v>23.576345733558952</v>
      </c>
      <c r="O195">
        <f t="shared" si="10"/>
        <v>116.90671830296179</v>
      </c>
      <c r="P195">
        <f t="shared" si="12"/>
        <v>111.97136388881907</v>
      </c>
      <c r="Q195">
        <f t="shared" si="13"/>
        <v>4.9353544141427221</v>
      </c>
    </row>
    <row r="196" spans="1:17" x14ac:dyDescent="0.25">
      <c r="A196">
        <v>48.49</v>
      </c>
      <c r="B196">
        <v>127.99</v>
      </c>
      <c r="C196">
        <v>112.4</v>
      </c>
      <c r="D196">
        <v>114</v>
      </c>
      <c r="E196" t="s">
        <v>12</v>
      </c>
      <c r="F196">
        <v>0</v>
      </c>
      <c r="G196">
        <v>0</v>
      </c>
      <c r="H196">
        <v>1</v>
      </c>
      <c r="I196">
        <v>0</v>
      </c>
      <c r="J196">
        <v>0</v>
      </c>
      <c r="L196">
        <f t="shared" si="14"/>
        <v>125.27283040102608</v>
      </c>
      <c r="M196">
        <f t="shared" si="15"/>
        <v>101.69648466746713</v>
      </c>
      <c r="N196">
        <f t="shared" si="11"/>
        <v>23.576345733558952</v>
      </c>
      <c r="O196">
        <f t="shared" si="10"/>
        <v>116.90671830296179</v>
      </c>
      <c r="P196">
        <f t="shared" si="12"/>
        <v>111.97136388881907</v>
      </c>
      <c r="Q196">
        <f t="shared" si="13"/>
        <v>4.9353544141427221</v>
      </c>
    </row>
    <row r="197" spans="1:17" x14ac:dyDescent="0.25">
      <c r="A197">
        <v>48.75</v>
      </c>
      <c r="B197">
        <v>99.2</v>
      </c>
      <c r="C197">
        <v>115.5</v>
      </c>
      <c r="D197">
        <v>114</v>
      </c>
      <c r="E197" t="s">
        <v>12</v>
      </c>
      <c r="F197">
        <v>0</v>
      </c>
      <c r="G197">
        <v>0</v>
      </c>
      <c r="H197">
        <v>1</v>
      </c>
      <c r="I197">
        <v>0</v>
      </c>
      <c r="J197">
        <v>0</v>
      </c>
      <c r="L197">
        <f t="shared" si="14"/>
        <v>125.27283040102608</v>
      </c>
      <c r="M197">
        <f t="shared" si="15"/>
        <v>101.69648466746713</v>
      </c>
      <c r="N197">
        <f t="shared" si="11"/>
        <v>23.576345733558952</v>
      </c>
      <c r="O197">
        <f t="shared" si="10"/>
        <v>116.90671830296179</v>
      </c>
      <c r="P197">
        <f t="shared" si="12"/>
        <v>111.97136388881907</v>
      </c>
      <c r="Q197">
        <f t="shared" si="13"/>
        <v>4.9353544141427221</v>
      </c>
    </row>
    <row r="198" spans="1:17" x14ac:dyDescent="0.25">
      <c r="A198">
        <v>49</v>
      </c>
      <c r="B198">
        <v>99.52</v>
      </c>
      <c r="C198">
        <v>111.1</v>
      </c>
      <c r="D198">
        <v>114</v>
      </c>
      <c r="E198" t="s">
        <v>11</v>
      </c>
      <c r="F198">
        <v>1</v>
      </c>
      <c r="G198">
        <v>0</v>
      </c>
      <c r="H198">
        <v>1</v>
      </c>
      <c r="I198">
        <v>0</v>
      </c>
      <c r="J198">
        <v>0</v>
      </c>
      <c r="L198">
        <f t="shared" si="14"/>
        <v>125.27283040102608</v>
      </c>
      <c r="M198">
        <f t="shared" si="15"/>
        <v>101.69648466746713</v>
      </c>
      <c r="N198">
        <f t="shared" si="11"/>
        <v>23.576345733558952</v>
      </c>
      <c r="O198">
        <f t="shared" si="10"/>
        <v>116.90671830296179</v>
      </c>
      <c r="P198">
        <f t="shared" si="12"/>
        <v>111.97136388881907</v>
      </c>
      <c r="Q198">
        <f t="shared" si="13"/>
        <v>4.9353544141427221</v>
      </c>
    </row>
    <row r="199" spans="1:17" x14ac:dyDescent="0.25">
      <c r="A199">
        <v>49.25</v>
      </c>
      <c r="B199">
        <v>126.9</v>
      </c>
      <c r="C199">
        <v>114.6</v>
      </c>
      <c r="D199">
        <v>114</v>
      </c>
      <c r="E199" t="s">
        <v>12</v>
      </c>
      <c r="F199">
        <v>0</v>
      </c>
      <c r="G199">
        <v>0</v>
      </c>
      <c r="H199">
        <v>1</v>
      </c>
      <c r="I199">
        <v>0</v>
      </c>
      <c r="J199">
        <v>0</v>
      </c>
      <c r="L199">
        <f t="shared" si="14"/>
        <v>125.27283040102608</v>
      </c>
      <c r="M199">
        <f t="shared" si="15"/>
        <v>101.69648466746713</v>
      </c>
      <c r="N199">
        <f t="shared" si="11"/>
        <v>23.576345733558952</v>
      </c>
      <c r="O199">
        <f t="shared" si="10"/>
        <v>116.90671830296179</v>
      </c>
      <c r="P199">
        <f t="shared" si="12"/>
        <v>111.97136388881907</v>
      </c>
      <c r="Q199">
        <f t="shared" si="13"/>
        <v>4.9353544141427221</v>
      </c>
    </row>
    <row r="200" spans="1:17" x14ac:dyDescent="0.25">
      <c r="A200">
        <v>49.51</v>
      </c>
      <c r="B200">
        <v>91.52</v>
      </c>
      <c r="C200">
        <v>111.7</v>
      </c>
      <c r="D200">
        <v>114</v>
      </c>
      <c r="E200" t="s">
        <v>12</v>
      </c>
      <c r="F200">
        <v>0</v>
      </c>
      <c r="G200">
        <v>0</v>
      </c>
      <c r="H200">
        <v>1</v>
      </c>
      <c r="I200">
        <v>0</v>
      </c>
      <c r="J200">
        <v>0</v>
      </c>
      <c r="L200">
        <f t="shared" si="14"/>
        <v>125.27283040102608</v>
      </c>
      <c r="M200">
        <f t="shared" si="15"/>
        <v>101.69648466746713</v>
      </c>
      <c r="N200">
        <f t="shared" si="11"/>
        <v>23.576345733558952</v>
      </c>
      <c r="O200">
        <f t="shared" ref="O200:O263" si="16">$S$103+$S$100</f>
        <v>116.90671830296179</v>
      </c>
      <c r="P200">
        <f t="shared" si="12"/>
        <v>111.97136388881907</v>
      </c>
      <c r="Q200">
        <f t="shared" si="13"/>
        <v>4.9353544141427221</v>
      </c>
    </row>
    <row r="201" spans="1:17" x14ac:dyDescent="0.25">
      <c r="A201">
        <v>49.76</v>
      </c>
      <c r="B201">
        <v>112.96</v>
      </c>
      <c r="C201">
        <v>107.8</v>
      </c>
      <c r="D201">
        <v>114</v>
      </c>
      <c r="E201" t="s">
        <v>12</v>
      </c>
      <c r="F201">
        <v>0</v>
      </c>
      <c r="G201">
        <v>0</v>
      </c>
      <c r="H201">
        <v>1</v>
      </c>
      <c r="I201">
        <v>0</v>
      </c>
      <c r="J201">
        <v>0</v>
      </c>
      <c r="L201">
        <f t="shared" si="14"/>
        <v>125.27283040102608</v>
      </c>
      <c r="M201">
        <f t="shared" si="15"/>
        <v>101.69648466746713</v>
      </c>
      <c r="N201">
        <f t="shared" si="11"/>
        <v>23.576345733558952</v>
      </c>
      <c r="O201">
        <f t="shared" si="16"/>
        <v>116.90671830296179</v>
      </c>
      <c r="P201">
        <f t="shared" si="12"/>
        <v>111.97136388881907</v>
      </c>
      <c r="Q201">
        <f t="shared" si="13"/>
        <v>4.9353544141427221</v>
      </c>
    </row>
    <row r="202" spans="1:17" x14ac:dyDescent="0.25">
      <c r="A202">
        <v>50.01</v>
      </c>
      <c r="B202">
        <v>116.28</v>
      </c>
      <c r="C202">
        <v>111.1</v>
      </c>
      <c r="D202">
        <v>114</v>
      </c>
      <c r="E202" t="s">
        <v>11</v>
      </c>
      <c r="F202">
        <v>1</v>
      </c>
      <c r="G202">
        <v>0</v>
      </c>
      <c r="H202">
        <v>1</v>
      </c>
      <c r="I202">
        <v>0</v>
      </c>
      <c r="J202">
        <v>0</v>
      </c>
      <c r="L202">
        <f t="shared" si="14"/>
        <v>125.27283040102608</v>
      </c>
      <c r="M202">
        <f t="shared" si="15"/>
        <v>101.69648466746713</v>
      </c>
      <c r="N202">
        <f t="shared" si="11"/>
        <v>23.576345733558952</v>
      </c>
      <c r="O202">
        <f t="shared" si="16"/>
        <v>116.90671830296179</v>
      </c>
      <c r="P202">
        <f t="shared" si="12"/>
        <v>111.97136388881907</v>
      </c>
      <c r="Q202">
        <f t="shared" si="13"/>
        <v>4.9353544141427221</v>
      </c>
    </row>
    <row r="203" spans="1:17" x14ac:dyDescent="0.25">
      <c r="A203">
        <v>50.26</v>
      </c>
      <c r="B203">
        <v>99.3</v>
      </c>
      <c r="C203">
        <v>110.9</v>
      </c>
      <c r="D203">
        <v>114</v>
      </c>
      <c r="E203" t="s">
        <v>12</v>
      </c>
      <c r="F203">
        <v>0</v>
      </c>
      <c r="G203">
        <v>0</v>
      </c>
      <c r="H203">
        <v>1</v>
      </c>
      <c r="I203">
        <v>0</v>
      </c>
      <c r="J203">
        <v>0</v>
      </c>
      <c r="L203">
        <f t="shared" si="14"/>
        <v>125.27283040102608</v>
      </c>
      <c r="M203">
        <f t="shared" si="15"/>
        <v>101.69648466746713</v>
      </c>
      <c r="N203">
        <f t="shared" si="11"/>
        <v>23.576345733558952</v>
      </c>
      <c r="O203">
        <f t="shared" si="16"/>
        <v>116.90671830296179</v>
      </c>
      <c r="P203">
        <f t="shared" si="12"/>
        <v>111.97136388881907</v>
      </c>
      <c r="Q203">
        <f t="shared" si="13"/>
        <v>4.9353544141427221</v>
      </c>
    </row>
    <row r="204" spans="1:17" x14ac:dyDescent="0.25">
      <c r="A204">
        <v>50.52</v>
      </c>
      <c r="B204">
        <v>132.1</v>
      </c>
      <c r="C204">
        <v>114</v>
      </c>
      <c r="D204">
        <v>114</v>
      </c>
      <c r="E204" t="s">
        <v>12</v>
      </c>
      <c r="F204">
        <v>0</v>
      </c>
      <c r="G204">
        <v>0</v>
      </c>
      <c r="H204">
        <v>1</v>
      </c>
      <c r="I204">
        <v>0</v>
      </c>
      <c r="J204">
        <v>0</v>
      </c>
      <c r="L204">
        <f t="shared" si="14"/>
        <v>125.27283040102608</v>
      </c>
      <c r="M204">
        <f t="shared" si="15"/>
        <v>101.69648466746713</v>
      </c>
      <c r="N204">
        <f t="shared" si="11"/>
        <v>23.576345733558952</v>
      </c>
      <c r="O204">
        <f t="shared" si="16"/>
        <v>116.90671830296179</v>
      </c>
      <c r="P204">
        <f t="shared" si="12"/>
        <v>111.97136388881907</v>
      </c>
      <c r="Q204">
        <f t="shared" si="13"/>
        <v>4.9353544141427221</v>
      </c>
    </row>
    <row r="205" spans="1:17" x14ac:dyDescent="0.25">
      <c r="A205">
        <v>50.77</v>
      </c>
      <c r="B205">
        <v>96.58</v>
      </c>
      <c r="C205">
        <v>116</v>
      </c>
      <c r="D205">
        <v>114</v>
      </c>
      <c r="E205" t="s">
        <v>12</v>
      </c>
      <c r="F205">
        <v>0</v>
      </c>
      <c r="G205">
        <v>0</v>
      </c>
      <c r="H205">
        <v>1</v>
      </c>
      <c r="I205">
        <v>0</v>
      </c>
      <c r="J205">
        <v>0</v>
      </c>
      <c r="L205">
        <f t="shared" si="14"/>
        <v>125.27283040102608</v>
      </c>
      <c r="M205">
        <f t="shared" si="15"/>
        <v>101.69648466746713</v>
      </c>
      <c r="N205">
        <f t="shared" si="11"/>
        <v>23.576345733558952</v>
      </c>
      <c r="O205">
        <f t="shared" si="16"/>
        <v>116.90671830296179</v>
      </c>
      <c r="P205">
        <f t="shared" si="12"/>
        <v>111.97136388881907</v>
      </c>
      <c r="Q205">
        <f t="shared" si="13"/>
        <v>4.9353544141427221</v>
      </c>
    </row>
    <row r="206" spans="1:17" x14ac:dyDescent="0.25">
      <c r="A206">
        <v>51.02</v>
      </c>
      <c r="B206">
        <v>115.3</v>
      </c>
      <c r="C206">
        <v>110.1</v>
      </c>
      <c r="D206">
        <v>114</v>
      </c>
      <c r="E206" t="s">
        <v>11</v>
      </c>
      <c r="F206">
        <v>1</v>
      </c>
      <c r="G206">
        <v>0</v>
      </c>
      <c r="H206">
        <v>1</v>
      </c>
      <c r="I206">
        <v>0</v>
      </c>
      <c r="J206">
        <v>0</v>
      </c>
      <c r="L206">
        <f t="shared" si="14"/>
        <v>125.27283040102608</v>
      </c>
      <c r="M206">
        <f t="shared" si="15"/>
        <v>101.69648466746713</v>
      </c>
      <c r="N206">
        <f t="shared" si="11"/>
        <v>23.576345733558952</v>
      </c>
      <c r="O206">
        <f t="shared" si="16"/>
        <v>116.90671830296179</v>
      </c>
      <c r="P206">
        <f t="shared" si="12"/>
        <v>111.97136388881907</v>
      </c>
      <c r="Q206">
        <f t="shared" si="13"/>
        <v>4.9353544141427221</v>
      </c>
    </row>
    <row r="207" spans="1:17" x14ac:dyDescent="0.25">
      <c r="A207">
        <v>51.27</v>
      </c>
      <c r="B207">
        <v>104.42</v>
      </c>
      <c r="C207">
        <v>116.1</v>
      </c>
      <c r="D207">
        <v>114</v>
      </c>
      <c r="E207" t="s">
        <v>12</v>
      </c>
      <c r="F207">
        <v>0</v>
      </c>
      <c r="G207">
        <v>0</v>
      </c>
      <c r="H207">
        <v>1</v>
      </c>
      <c r="I207">
        <v>0</v>
      </c>
      <c r="J207">
        <v>0</v>
      </c>
      <c r="L207">
        <f t="shared" si="14"/>
        <v>125.27283040102608</v>
      </c>
      <c r="M207">
        <f t="shared" si="15"/>
        <v>101.69648466746713</v>
      </c>
      <c r="N207">
        <f t="shared" si="11"/>
        <v>23.576345733558952</v>
      </c>
      <c r="O207">
        <f t="shared" si="16"/>
        <v>116.90671830296179</v>
      </c>
      <c r="P207">
        <f t="shared" si="12"/>
        <v>111.97136388881907</v>
      </c>
      <c r="Q207">
        <f t="shared" si="13"/>
        <v>4.9353544141427221</v>
      </c>
    </row>
    <row r="208" spans="1:17" x14ac:dyDescent="0.25">
      <c r="A208">
        <v>51.53</v>
      </c>
      <c r="B208">
        <v>97.01</v>
      </c>
      <c r="C208">
        <v>114.4</v>
      </c>
      <c r="D208">
        <v>114</v>
      </c>
      <c r="E208" t="s">
        <v>12</v>
      </c>
      <c r="F208">
        <v>0</v>
      </c>
      <c r="G208">
        <v>0</v>
      </c>
      <c r="H208">
        <v>1</v>
      </c>
      <c r="I208">
        <v>0</v>
      </c>
      <c r="J208">
        <v>0</v>
      </c>
      <c r="L208">
        <f t="shared" si="14"/>
        <v>125.27283040102608</v>
      </c>
      <c r="M208">
        <f t="shared" si="15"/>
        <v>101.69648466746713</v>
      </c>
      <c r="N208">
        <f t="shared" si="11"/>
        <v>23.576345733558952</v>
      </c>
      <c r="O208">
        <f t="shared" si="16"/>
        <v>116.90671830296179</v>
      </c>
      <c r="P208">
        <f t="shared" si="12"/>
        <v>111.97136388881907</v>
      </c>
      <c r="Q208">
        <f t="shared" si="13"/>
        <v>4.9353544141427221</v>
      </c>
    </row>
    <row r="209" spans="1:17" x14ac:dyDescent="0.25">
      <c r="A209">
        <v>51.8</v>
      </c>
      <c r="B209">
        <v>125.77</v>
      </c>
      <c r="C209">
        <v>116.8</v>
      </c>
      <c r="D209">
        <v>114</v>
      </c>
      <c r="E209" t="s">
        <v>12</v>
      </c>
      <c r="F209">
        <v>0</v>
      </c>
      <c r="G209">
        <v>0</v>
      </c>
      <c r="H209">
        <v>1</v>
      </c>
      <c r="I209">
        <v>0</v>
      </c>
      <c r="J209">
        <v>0</v>
      </c>
      <c r="L209">
        <f t="shared" si="14"/>
        <v>125.27283040102608</v>
      </c>
      <c r="M209">
        <f t="shared" si="15"/>
        <v>101.69648466746713</v>
      </c>
      <c r="N209">
        <f t="shared" si="11"/>
        <v>23.576345733558952</v>
      </c>
      <c r="O209">
        <f t="shared" si="16"/>
        <v>116.90671830296179</v>
      </c>
      <c r="P209">
        <f t="shared" si="12"/>
        <v>111.97136388881907</v>
      </c>
      <c r="Q209">
        <f t="shared" si="13"/>
        <v>4.9353544141427221</v>
      </c>
    </row>
    <row r="210" spans="1:17" x14ac:dyDescent="0.25">
      <c r="A210">
        <v>52.04</v>
      </c>
      <c r="B210">
        <v>103.1</v>
      </c>
      <c r="C210">
        <v>117.3</v>
      </c>
      <c r="D210">
        <v>114</v>
      </c>
      <c r="E210" t="s">
        <v>13</v>
      </c>
      <c r="F210">
        <v>0</v>
      </c>
      <c r="G210">
        <v>1</v>
      </c>
      <c r="H210">
        <v>1</v>
      </c>
      <c r="I210">
        <v>0</v>
      </c>
      <c r="J210">
        <v>0</v>
      </c>
      <c r="L210">
        <f t="shared" si="14"/>
        <v>125.27283040102608</v>
      </c>
      <c r="M210">
        <f t="shared" si="15"/>
        <v>101.69648466746713</v>
      </c>
      <c r="N210">
        <f t="shared" si="11"/>
        <v>23.576345733558952</v>
      </c>
      <c r="O210">
        <f t="shared" si="16"/>
        <v>116.90671830296179</v>
      </c>
      <c r="P210">
        <f t="shared" si="12"/>
        <v>111.97136388881907</v>
      </c>
      <c r="Q210">
        <f t="shared" si="13"/>
        <v>4.9353544141427221</v>
      </c>
    </row>
    <row r="211" spans="1:17" x14ac:dyDescent="0.25">
      <c r="A211">
        <v>52.29</v>
      </c>
      <c r="B211">
        <v>103.07</v>
      </c>
      <c r="C211">
        <v>114.8</v>
      </c>
      <c r="D211">
        <v>114</v>
      </c>
      <c r="E211" t="s">
        <v>12</v>
      </c>
      <c r="F211">
        <v>0</v>
      </c>
      <c r="G211">
        <v>0</v>
      </c>
      <c r="H211">
        <v>1</v>
      </c>
      <c r="I211">
        <v>0</v>
      </c>
      <c r="J211">
        <v>0</v>
      </c>
      <c r="L211">
        <f t="shared" si="14"/>
        <v>125.27283040102608</v>
      </c>
      <c r="M211">
        <f t="shared" si="15"/>
        <v>101.69648466746713</v>
      </c>
      <c r="N211">
        <f t="shared" si="11"/>
        <v>23.576345733558952</v>
      </c>
      <c r="O211">
        <f t="shared" si="16"/>
        <v>116.90671830296179</v>
      </c>
      <c r="P211">
        <f t="shared" si="12"/>
        <v>111.97136388881907</v>
      </c>
      <c r="Q211">
        <f t="shared" si="13"/>
        <v>4.9353544141427221</v>
      </c>
    </row>
    <row r="212" spans="1:17" x14ac:dyDescent="0.25">
      <c r="A212">
        <v>52.54</v>
      </c>
      <c r="B212">
        <v>120.31</v>
      </c>
      <c r="C212">
        <v>115.5</v>
      </c>
      <c r="D212">
        <v>114</v>
      </c>
      <c r="E212" t="s">
        <v>12</v>
      </c>
      <c r="F212">
        <v>0</v>
      </c>
      <c r="G212">
        <v>0</v>
      </c>
      <c r="H212">
        <v>1</v>
      </c>
      <c r="I212">
        <v>0</v>
      </c>
      <c r="J212">
        <v>0</v>
      </c>
      <c r="L212">
        <f t="shared" si="14"/>
        <v>125.27283040102608</v>
      </c>
      <c r="M212">
        <f t="shared" si="15"/>
        <v>101.69648466746713</v>
      </c>
      <c r="N212">
        <f t="shared" si="11"/>
        <v>23.576345733558952</v>
      </c>
      <c r="O212">
        <f t="shared" si="16"/>
        <v>116.90671830296179</v>
      </c>
      <c r="P212">
        <f t="shared" si="12"/>
        <v>111.97136388881907</v>
      </c>
      <c r="Q212">
        <f t="shared" si="13"/>
        <v>4.9353544141427221</v>
      </c>
    </row>
    <row r="213" spans="1:17" x14ac:dyDescent="0.25">
      <c r="A213">
        <v>52.79</v>
      </c>
      <c r="B213">
        <v>91.41</v>
      </c>
      <c r="C213">
        <v>114.7</v>
      </c>
      <c r="D213">
        <v>114</v>
      </c>
      <c r="E213" t="s">
        <v>12</v>
      </c>
      <c r="F213">
        <v>0</v>
      </c>
      <c r="G213">
        <v>0</v>
      </c>
      <c r="H213">
        <v>1</v>
      </c>
      <c r="I213">
        <v>0</v>
      </c>
      <c r="J213">
        <v>0</v>
      </c>
      <c r="L213">
        <f t="shared" si="14"/>
        <v>125.27283040102608</v>
      </c>
      <c r="M213">
        <f t="shared" si="15"/>
        <v>101.69648466746713</v>
      </c>
      <c r="N213">
        <f t="shared" si="11"/>
        <v>23.576345733558952</v>
      </c>
      <c r="O213">
        <f t="shared" si="16"/>
        <v>116.90671830296179</v>
      </c>
      <c r="P213">
        <f t="shared" si="12"/>
        <v>111.97136388881907</v>
      </c>
      <c r="Q213">
        <f t="shared" si="13"/>
        <v>4.9353544141427221</v>
      </c>
    </row>
    <row r="214" spans="1:17" x14ac:dyDescent="0.25">
      <c r="A214">
        <v>53.04</v>
      </c>
      <c r="B214">
        <v>121.1</v>
      </c>
      <c r="C214">
        <v>113.9</v>
      </c>
      <c r="D214">
        <v>114</v>
      </c>
      <c r="E214" t="s">
        <v>12</v>
      </c>
      <c r="F214">
        <v>0</v>
      </c>
      <c r="G214">
        <v>0</v>
      </c>
      <c r="H214">
        <v>1</v>
      </c>
      <c r="I214">
        <v>0</v>
      </c>
      <c r="J214">
        <v>0</v>
      </c>
      <c r="L214">
        <f t="shared" si="14"/>
        <v>125.27283040102608</v>
      </c>
      <c r="M214">
        <f t="shared" si="15"/>
        <v>101.69648466746713</v>
      </c>
      <c r="N214">
        <f t="shared" si="11"/>
        <v>23.576345733558952</v>
      </c>
      <c r="O214">
        <f t="shared" si="16"/>
        <v>116.90671830296179</v>
      </c>
      <c r="P214">
        <f t="shared" si="12"/>
        <v>111.97136388881907</v>
      </c>
      <c r="Q214">
        <f t="shared" si="13"/>
        <v>4.9353544141427221</v>
      </c>
    </row>
    <row r="215" spans="1:17" x14ac:dyDescent="0.25">
      <c r="A215">
        <v>53.3</v>
      </c>
      <c r="B215">
        <v>102.93</v>
      </c>
      <c r="C215">
        <v>115.4</v>
      </c>
      <c r="D215">
        <v>114</v>
      </c>
      <c r="E215" t="s">
        <v>12</v>
      </c>
      <c r="F215">
        <v>0</v>
      </c>
      <c r="G215">
        <v>0</v>
      </c>
      <c r="H215">
        <v>1</v>
      </c>
      <c r="I215">
        <v>0</v>
      </c>
      <c r="J215">
        <v>0</v>
      </c>
      <c r="L215">
        <f t="shared" si="14"/>
        <v>125.27283040102608</v>
      </c>
      <c r="M215">
        <f t="shared" si="15"/>
        <v>101.69648466746713</v>
      </c>
      <c r="N215">
        <f t="shared" si="11"/>
        <v>23.576345733558952</v>
      </c>
      <c r="O215">
        <f t="shared" si="16"/>
        <v>116.90671830296179</v>
      </c>
      <c r="P215">
        <f t="shared" si="12"/>
        <v>111.97136388881907</v>
      </c>
      <c r="Q215">
        <f t="shared" si="13"/>
        <v>4.9353544141427221</v>
      </c>
    </row>
    <row r="216" spans="1:17" x14ac:dyDescent="0.25">
      <c r="A216">
        <v>53.55</v>
      </c>
      <c r="B216">
        <v>103.03</v>
      </c>
      <c r="C216">
        <v>111.2</v>
      </c>
      <c r="D216">
        <v>114</v>
      </c>
      <c r="E216" t="s">
        <v>12</v>
      </c>
      <c r="F216">
        <v>0</v>
      </c>
      <c r="G216">
        <v>0</v>
      </c>
      <c r="H216">
        <v>1</v>
      </c>
      <c r="I216">
        <v>0</v>
      </c>
      <c r="J216">
        <v>0</v>
      </c>
      <c r="L216">
        <f t="shared" si="14"/>
        <v>125.27283040102608</v>
      </c>
      <c r="M216">
        <f t="shared" si="15"/>
        <v>101.69648466746713</v>
      </c>
      <c r="N216">
        <f t="shared" si="11"/>
        <v>23.576345733558952</v>
      </c>
      <c r="O216">
        <f t="shared" si="16"/>
        <v>116.90671830296179</v>
      </c>
      <c r="P216">
        <f t="shared" si="12"/>
        <v>111.97136388881907</v>
      </c>
      <c r="Q216">
        <f t="shared" si="13"/>
        <v>4.9353544141427221</v>
      </c>
    </row>
    <row r="217" spans="1:17" x14ac:dyDescent="0.25">
      <c r="A217">
        <v>53.8</v>
      </c>
      <c r="B217">
        <v>113.78</v>
      </c>
      <c r="C217">
        <v>112.6</v>
      </c>
      <c r="D217">
        <v>114</v>
      </c>
      <c r="E217" t="s">
        <v>12</v>
      </c>
      <c r="F217">
        <v>0</v>
      </c>
      <c r="G217">
        <v>0</v>
      </c>
      <c r="H217">
        <v>1</v>
      </c>
      <c r="I217">
        <v>0</v>
      </c>
      <c r="J217">
        <v>0</v>
      </c>
      <c r="L217">
        <f t="shared" si="14"/>
        <v>125.27283040102608</v>
      </c>
      <c r="M217">
        <f t="shared" si="15"/>
        <v>101.69648466746713</v>
      </c>
      <c r="N217">
        <f t="shared" si="11"/>
        <v>23.576345733558952</v>
      </c>
      <c r="O217">
        <f t="shared" si="16"/>
        <v>116.90671830296179</v>
      </c>
      <c r="P217">
        <f t="shared" si="12"/>
        <v>111.97136388881907</v>
      </c>
      <c r="Q217">
        <f t="shared" si="13"/>
        <v>4.9353544141427221</v>
      </c>
    </row>
    <row r="218" spans="1:17" x14ac:dyDescent="0.25">
      <c r="A218">
        <v>54.06</v>
      </c>
      <c r="B218">
        <v>107.42</v>
      </c>
      <c r="C218">
        <v>112.6</v>
      </c>
      <c r="D218">
        <v>114</v>
      </c>
      <c r="E218" t="s">
        <v>12</v>
      </c>
      <c r="F218">
        <v>0</v>
      </c>
      <c r="G218">
        <v>0</v>
      </c>
      <c r="H218">
        <v>1</v>
      </c>
      <c r="I218">
        <v>0</v>
      </c>
      <c r="J218">
        <v>0</v>
      </c>
      <c r="L218">
        <f t="shared" si="14"/>
        <v>125.27283040102608</v>
      </c>
      <c r="M218">
        <f t="shared" si="15"/>
        <v>101.69648466746713</v>
      </c>
      <c r="N218">
        <f t="shared" si="11"/>
        <v>23.576345733558952</v>
      </c>
      <c r="O218">
        <f t="shared" si="16"/>
        <v>116.90671830296179</v>
      </c>
      <c r="P218">
        <f t="shared" si="12"/>
        <v>111.97136388881907</v>
      </c>
      <c r="Q218">
        <f t="shared" si="13"/>
        <v>4.9353544141427221</v>
      </c>
    </row>
    <row r="219" spans="1:17" x14ac:dyDescent="0.25">
      <c r="A219">
        <v>54.31</v>
      </c>
      <c r="B219">
        <v>122.05</v>
      </c>
      <c r="C219">
        <v>112</v>
      </c>
      <c r="D219">
        <v>114</v>
      </c>
      <c r="E219" t="s">
        <v>12</v>
      </c>
      <c r="F219">
        <v>0</v>
      </c>
      <c r="G219">
        <v>0</v>
      </c>
      <c r="H219">
        <v>1</v>
      </c>
      <c r="I219">
        <v>0</v>
      </c>
      <c r="J219">
        <v>0</v>
      </c>
      <c r="L219">
        <f t="shared" si="14"/>
        <v>125.27283040102608</v>
      </c>
      <c r="M219">
        <f t="shared" si="15"/>
        <v>101.69648466746713</v>
      </c>
      <c r="N219">
        <f t="shared" ref="N219:N282" si="17">L219-M219</f>
        <v>23.576345733558952</v>
      </c>
      <c r="O219">
        <f t="shared" si="16"/>
        <v>116.90671830296179</v>
      </c>
      <c r="P219">
        <f t="shared" ref="P219:P282" si="18">$S$103-$S$100</f>
        <v>111.97136388881907</v>
      </c>
      <c r="Q219">
        <f t="shared" ref="Q219:Q282" si="19">O219-P219</f>
        <v>4.9353544141427221</v>
      </c>
    </row>
    <row r="220" spans="1:17" x14ac:dyDescent="0.25">
      <c r="A220">
        <v>54.56</v>
      </c>
      <c r="B220">
        <v>124.13</v>
      </c>
      <c r="C220">
        <v>115.1</v>
      </c>
      <c r="D220">
        <v>114</v>
      </c>
      <c r="E220" t="s">
        <v>12</v>
      </c>
      <c r="F220">
        <v>0</v>
      </c>
      <c r="G220">
        <v>0</v>
      </c>
      <c r="H220">
        <v>1</v>
      </c>
      <c r="I220">
        <v>0</v>
      </c>
      <c r="J220">
        <v>0</v>
      </c>
      <c r="L220">
        <f t="shared" si="14"/>
        <v>125.27283040102608</v>
      </c>
      <c r="M220">
        <f t="shared" si="15"/>
        <v>101.69648466746713</v>
      </c>
      <c r="N220">
        <f t="shared" si="17"/>
        <v>23.576345733558952</v>
      </c>
      <c r="O220">
        <f t="shared" si="16"/>
        <v>116.90671830296179</v>
      </c>
      <c r="P220">
        <f t="shared" si="18"/>
        <v>111.97136388881907</v>
      </c>
      <c r="Q220">
        <f t="shared" si="19"/>
        <v>4.9353544141427221</v>
      </c>
    </row>
    <row r="221" spans="1:17" x14ac:dyDescent="0.25">
      <c r="A221">
        <v>54.82</v>
      </c>
      <c r="B221">
        <v>121.69</v>
      </c>
      <c r="C221">
        <v>111.6</v>
      </c>
      <c r="D221">
        <v>114</v>
      </c>
      <c r="E221" t="s">
        <v>12</v>
      </c>
      <c r="F221">
        <v>0</v>
      </c>
      <c r="G221">
        <v>0</v>
      </c>
      <c r="H221">
        <v>1</v>
      </c>
      <c r="I221">
        <v>0</v>
      </c>
      <c r="J221">
        <v>0</v>
      </c>
      <c r="L221">
        <f t="shared" si="14"/>
        <v>125.27283040102608</v>
      </c>
      <c r="M221">
        <f t="shared" si="15"/>
        <v>101.69648466746713</v>
      </c>
      <c r="N221">
        <f t="shared" si="17"/>
        <v>23.576345733558952</v>
      </c>
      <c r="O221">
        <f t="shared" si="16"/>
        <v>116.90671830296179</v>
      </c>
      <c r="P221">
        <f t="shared" si="18"/>
        <v>111.97136388881907</v>
      </c>
      <c r="Q221">
        <f t="shared" si="19"/>
        <v>4.9353544141427221</v>
      </c>
    </row>
    <row r="222" spans="1:17" x14ac:dyDescent="0.25">
      <c r="A222">
        <v>55.07</v>
      </c>
      <c r="B222">
        <v>126.09</v>
      </c>
      <c r="C222">
        <v>117.7</v>
      </c>
      <c r="D222">
        <v>114</v>
      </c>
      <c r="E222" t="s">
        <v>12</v>
      </c>
      <c r="F222">
        <v>0</v>
      </c>
      <c r="G222">
        <v>0</v>
      </c>
      <c r="H222">
        <v>1</v>
      </c>
      <c r="I222">
        <v>0</v>
      </c>
      <c r="J222">
        <v>0</v>
      </c>
      <c r="L222">
        <f t="shared" si="14"/>
        <v>125.27283040102608</v>
      </c>
      <c r="M222">
        <f t="shared" si="15"/>
        <v>101.69648466746713</v>
      </c>
      <c r="N222">
        <f t="shared" si="17"/>
        <v>23.576345733558952</v>
      </c>
      <c r="O222">
        <f t="shared" si="16"/>
        <v>116.90671830296179</v>
      </c>
      <c r="P222">
        <f t="shared" si="18"/>
        <v>111.97136388881907</v>
      </c>
      <c r="Q222">
        <f t="shared" si="19"/>
        <v>4.9353544141427221</v>
      </c>
    </row>
    <row r="223" spans="1:17" x14ac:dyDescent="0.25">
      <c r="A223">
        <v>55.32</v>
      </c>
      <c r="B223">
        <v>111.44</v>
      </c>
      <c r="C223">
        <v>116.1</v>
      </c>
      <c r="D223">
        <v>114</v>
      </c>
      <c r="E223" t="s">
        <v>13</v>
      </c>
      <c r="F223">
        <v>0</v>
      </c>
      <c r="G223">
        <v>1</v>
      </c>
      <c r="H223">
        <v>1</v>
      </c>
      <c r="I223">
        <v>0</v>
      </c>
      <c r="J223">
        <v>0</v>
      </c>
      <c r="L223">
        <f t="shared" si="14"/>
        <v>125.27283040102608</v>
      </c>
      <c r="M223">
        <f t="shared" si="15"/>
        <v>101.69648466746713</v>
      </c>
      <c r="N223">
        <f t="shared" si="17"/>
        <v>23.576345733558952</v>
      </c>
      <c r="O223">
        <f t="shared" si="16"/>
        <v>116.90671830296179</v>
      </c>
      <c r="P223">
        <f t="shared" si="18"/>
        <v>111.97136388881907</v>
      </c>
      <c r="Q223">
        <f t="shared" si="19"/>
        <v>4.9353544141427221</v>
      </c>
    </row>
    <row r="224" spans="1:17" x14ac:dyDescent="0.25">
      <c r="A224">
        <v>55.57</v>
      </c>
      <c r="B224">
        <v>117</v>
      </c>
      <c r="C224">
        <v>112.3</v>
      </c>
      <c r="D224">
        <v>114</v>
      </c>
      <c r="E224" t="s">
        <v>12</v>
      </c>
      <c r="F224">
        <v>0</v>
      </c>
      <c r="G224">
        <v>0</v>
      </c>
      <c r="H224">
        <v>1</v>
      </c>
      <c r="I224">
        <v>0</v>
      </c>
      <c r="J224">
        <v>0</v>
      </c>
      <c r="L224">
        <f t="shared" si="14"/>
        <v>125.27283040102608</v>
      </c>
      <c r="M224">
        <f t="shared" si="15"/>
        <v>101.69648466746713</v>
      </c>
      <c r="N224">
        <f t="shared" si="17"/>
        <v>23.576345733558952</v>
      </c>
      <c r="O224">
        <f t="shared" si="16"/>
        <v>116.90671830296179</v>
      </c>
      <c r="P224">
        <f t="shared" si="18"/>
        <v>111.97136388881907</v>
      </c>
      <c r="Q224">
        <f t="shared" si="19"/>
        <v>4.9353544141427221</v>
      </c>
    </row>
    <row r="225" spans="1:17" x14ac:dyDescent="0.25">
      <c r="A225">
        <v>55.82</v>
      </c>
      <c r="B225">
        <v>117.69</v>
      </c>
      <c r="C225">
        <v>114.4</v>
      </c>
      <c r="D225">
        <v>114</v>
      </c>
      <c r="E225" t="s">
        <v>12</v>
      </c>
      <c r="F225">
        <v>0</v>
      </c>
      <c r="G225">
        <v>0</v>
      </c>
      <c r="H225">
        <v>1</v>
      </c>
      <c r="I225">
        <v>0</v>
      </c>
      <c r="J225">
        <v>0</v>
      </c>
      <c r="L225">
        <f t="shared" si="14"/>
        <v>125.27283040102608</v>
      </c>
      <c r="M225">
        <f t="shared" si="15"/>
        <v>101.69648466746713</v>
      </c>
      <c r="N225">
        <f t="shared" si="17"/>
        <v>23.576345733558952</v>
      </c>
      <c r="O225">
        <f t="shared" si="16"/>
        <v>116.90671830296179</v>
      </c>
      <c r="P225">
        <f t="shared" si="18"/>
        <v>111.97136388881907</v>
      </c>
      <c r="Q225">
        <f t="shared" si="19"/>
        <v>4.9353544141427221</v>
      </c>
    </row>
    <row r="226" spans="1:17" x14ac:dyDescent="0.25">
      <c r="A226">
        <v>56.09</v>
      </c>
      <c r="B226">
        <v>117.69</v>
      </c>
      <c r="C226">
        <v>115.7</v>
      </c>
      <c r="D226">
        <v>114</v>
      </c>
      <c r="E226" t="s">
        <v>12</v>
      </c>
      <c r="F226">
        <v>0</v>
      </c>
      <c r="G226">
        <v>0</v>
      </c>
      <c r="H226">
        <v>1</v>
      </c>
      <c r="I226">
        <v>0</v>
      </c>
      <c r="J226">
        <v>0</v>
      </c>
      <c r="L226">
        <f t="shared" si="14"/>
        <v>125.27283040102608</v>
      </c>
      <c r="M226">
        <f t="shared" si="15"/>
        <v>101.69648466746713</v>
      </c>
      <c r="N226">
        <f t="shared" si="17"/>
        <v>23.576345733558952</v>
      </c>
      <c r="O226">
        <f t="shared" si="16"/>
        <v>116.90671830296179</v>
      </c>
      <c r="P226">
        <f t="shared" si="18"/>
        <v>111.97136388881907</v>
      </c>
      <c r="Q226">
        <f t="shared" si="19"/>
        <v>4.9353544141427221</v>
      </c>
    </row>
    <row r="227" spans="1:17" x14ac:dyDescent="0.25">
      <c r="A227">
        <v>56.33</v>
      </c>
      <c r="B227">
        <v>117.69</v>
      </c>
      <c r="C227">
        <v>116.4</v>
      </c>
      <c r="D227">
        <v>114</v>
      </c>
      <c r="E227" t="s">
        <v>13</v>
      </c>
      <c r="F227">
        <v>0</v>
      </c>
      <c r="G227">
        <v>1</v>
      </c>
      <c r="H227">
        <v>1</v>
      </c>
      <c r="I227">
        <v>0</v>
      </c>
      <c r="J227">
        <v>0</v>
      </c>
      <c r="L227">
        <f t="shared" si="14"/>
        <v>125.27283040102608</v>
      </c>
      <c r="M227">
        <f t="shared" si="15"/>
        <v>101.69648466746713</v>
      </c>
      <c r="N227">
        <f t="shared" si="17"/>
        <v>23.576345733558952</v>
      </c>
      <c r="O227">
        <f t="shared" si="16"/>
        <v>116.90671830296179</v>
      </c>
      <c r="P227">
        <f t="shared" si="18"/>
        <v>111.97136388881907</v>
      </c>
      <c r="Q227">
        <f t="shared" si="19"/>
        <v>4.9353544141427221</v>
      </c>
    </row>
    <row r="228" spans="1:17" x14ac:dyDescent="0.25">
      <c r="A228">
        <v>56.58</v>
      </c>
      <c r="B228">
        <v>117.69</v>
      </c>
      <c r="C228">
        <v>116.9</v>
      </c>
      <c r="D228">
        <v>114</v>
      </c>
      <c r="E228" t="s">
        <v>13</v>
      </c>
      <c r="F228">
        <v>0</v>
      </c>
      <c r="G228">
        <v>1</v>
      </c>
      <c r="H228">
        <v>1</v>
      </c>
      <c r="I228">
        <v>0</v>
      </c>
      <c r="J228">
        <v>0</v>
      </c>
      <c r="L228">
        <f t="shared" si="14"/>
        <v>125.27283040102608</v>
      </c>
      <c r="M228">
        <f t="shared" si="15"/>
        <v>101.69648466746713</v>
      </c>
      <c r="N228">
        <f t="shared" si="17"/>
        <v>23.576345733558952</v>
      </c>
      <c r="O228">
        <f t="shared" si="16"/>
        <v>116.90671830296179</v>
      </c>
      <c r="P228">
        <f t="shared" si="18"/>
        <v>111.97136388881907</v>
      </c>
      <c r="Q228">
        <f t="shared" si="19"/>
        <v>4.9353544141427221</v>
      </c>
    </row>
    <row r="229" spans="1:17" x14ac:dyDescent="0.25">
      <c r="A229">
        <v>56.83</v>
      </c>
      <c r="B229">
        <v>117.69</v>
      </c>
      <c r="C229">
        <v>117.2</v>
      </c>
      <c r="D229">
        <v>114</v>
      </c>
      <c r="E229" t="s">
        <v>13</v>
      </c>
      <c r="F229">
        <v>0</v>
      </c>
      <c r="G229">
        <v>1</v>
      </c>
      <c r="H229">
        <v>1</v>
      </c>
      <c r="I229">
        <v>0</v>
      </c>
      <c r="J229">
        <v>0</v>
      </c>
      <c r="L229">
        <f t="shared" si="14"/>
        <v>125.27283040102608</v>
      </c>
      <c r="M229">
        <f t="shared" si="15"/>
        <v>101.69648466746713</v>
      </c>
      <c r="N229">
        <f t="shared" si="17"/>
        <v>23.576345733558952</v>
      </c>
      <c r="O229">
        <f t="shared" si="16"/>
        <v>116.90671830296179</v>
      </c>
      <c r="P229">
        <f t="shared" si="18"/>
        <v>111.97136388881907</v>
      </c>
      <c r="Q229">
        <f t="shared" si="19"/>
        <v>4.9353544141427221</v>
      </c>
    </row>
    <row r="230" spans="1:17" x14ac:dyDescent="0.25">
      <c r="A230">
        <v>57.08</v>
      </c>
      <c r="B230">
        <v>117.69</v>
      </c>
      <c r="C230">
        <v>117.4</v>
      </c>
      <c r="D230">
        <v>114</v>
      </c>
      <c r="E230" t="s">
        <v>13</v>
      </c>
      <c r="F230">
        <v>0</v>
      </c>
      <c r="G230">
        <v>1</v>
      </c>
      <c r="H230">
        <v>1</v>
      </c>
      <c r="I230">
        <v>0</v>
      </c>
      <c r="J230">
        <v>0</v>
      </c>
      <c r="L230">
        <f t="shared" si="14"/>
        <v>125.27283040102608</v>
      </c>
      <c r="M230">
        <f t="shared" si="15"/>
        <v>101.69648466746713</v>
      </c>
      <c r="N230">
        <f t="shared" si="17"/>
        <v>23.576345733558952</v>
      </c>
      <c r="O230">
        <f t="shared" si="16"/>
        <v>116.90671830296179</v>
      </c>
      <c r="P230">
        <f t="shared" si="18"/>
        <v>111.97136388881907</v>
      </c>
      <c r="Q230">
        <f t="shared" si="19"/>
        <v>4.9353544141427221</v>
      </c>
    </row>
    <row r="231" spans="1:17" x14ac:dyDescent="0.25">
      <c r="A231">
        <v>57.34</v>
      </c>
      <c r="B231">
        <v>117.69</v>
      </c>
      <c r="C231">
        <v>117.5</v>
      </c>
      <c r="D231">
        <v>114</v>
      </c>
      <c r="E231" t="s">
        <v>13</v>
      </c>
      <c r="F231">
        <v>0</v>
      </c>
      <c r="G231">
        <v>0</v>
      </c>
      <c r="H231">
        <v>1</v>
      </c>
      <c r="I231">
        <v>0</v>
      </c>
      <c r="J231">
        <v>0</v>
      </c>
      <c r="L231">
        <f t="shared" si="14"/>
        <v>125.27283040102608</v>
      </c>
      <c r="M231">
        <f t="shared" si="15"/>
        <v>101.69648466746713</v>
      </c>
      <c r="N231">
        <f t="shared" si="17"/>
        <v>23.576345733558952</v>
      </c>
      <c r="O231">
        <f t="shared" si="16"/>
        <v>116.90671830296179</v>
      </c>
      <c r="P231">
        <f t="shared" si="18"/>
        <v>111.97136388881907</v>
      </c>
      <c r="Q231">
        <f t="shared" si="19"/>
        <v>4.9353544141427221</v>
      </c>
    </row>
    <row r="232" spans="1:17" x14ac:dyDescent="0.25">
      <c r="A232">
        <v>57.59</v>
      </c>
      <c r="B232">
        <v>117.69</v>
      </c>
      <c r="C232">
        <v>117.5</v>
      </c>
      <c r="D232">
        <v>114</v>
      </c>
      <c r="E232" t="s">
        <v>13</v>
      </c>
      <c r="F232">
        <v>0</v>
      </c>
      <c r="G232">
        <v>0</v>
      </c>
      <c r="H232">
        <v>1</v>
      </c>
      <c r="I232">
        <v>0</v>
      </c>
      <c r="J232">
        <v>0</v>
      </c>
      <c r="L232">
        <f t="shared" si="14"/>
        <v>125.27283040102608</v>
      </c>
      <c r="M232">
        <f t="shared" si="15"/>
        <v>101.69648466746713</v>
      </c>
      <c r="N232">
        <f t="shared" si="17"/>
        <v>23.576345733558952</v>
      </c>
      <c r="O232">
        <f t="shared" si="16"/>
        <v>116.90671830296179</v>
      </c>
      <c r="P232">
        <f t="shared" si="18"/>
        <v>111.97136388881907</v>
      </c>
      <c r="Q232">
        <f t="shared" si="19"/>
        <v>4.9353544141427221</v>
      </c>
    </row>
    <row r="233" spans="1:17" x14ac:dyDescent="0.25">
      <c r="A233">
        <v>57.84</v>
      </c>
      <c r="B233">
        <v>117.69</v>
      </c>
      <c r="C233">
        <v>117.6</v>
      </c>
      <c r="D233">
        <v>114</v>
      </c>
      <c r="E233" t="s">
        <v>13</v>
      </c>
      <c r="F233">
        <v>0</v>
      </c>
      <c r="G233">
        <v>0</v>
      </c>
      <c r="H233">
        <v>1</v>
      </c>
      <c r="I233">
        <v>0</v>
      </c>
      <c r="J233">
        <v>0</v>
      </c>
      <c r="L233">
        <f t="shared" si="14"/>
        <v>125.27283040102608</v>
      </c>
      <c r="M233">
        <f t="shared" si="15"/>
        <v>101.69648466746713</v>
      </c>
      <c r="N233">
        <f t="shared" si="17"/>
        <v>23.576345733558952</v>
      </c>
      <c r="O233">
        <f t="shared" si="16"/>
        <v>116.90671830296179</v>
      </c>
      <c r="P233">
        <f t="shared" si="18"/>
        <v>111.97136388881907</v>
      </c>
      <c r="Q233">
        <f t="shared" si="19"/>
        <v>4.9353544141427221</v>
      </c>
    </row>
    <row r="234" spans="1:17" x14ac:dyDescent="0.25">
      <c r="A234">
        <v>58.09</v>
      </c>
      <c r="B234">
        <v>117.69</v>
      </c>
      <c r="C234">
        <v>117.6</v>
      </c>
      <c r="D234">
        <v>114</v>
      </c>
      <c r="E234" t="s">
        <v>13</v>
      </c>
      <c r="F234">
        <v>0</v>
      </c>
      <c r="G234">
        <v>1</v>
      </c>
      <c r="H234">
        <v>1</v>
      </c>
      <c r="I234">
        <v>0</v>
      </c>
      <c r="J234">
        <v>0</v>
      </c>
      <c r="L234">
        <f t="shared" si="14"/>
        <v>125.27283040102608</v>
      </c>
      <c r="M234">
        <f t="shared" si="15"/>
        <v>101.69648466746713</v>
      </c>
      <c r="N234">
        <f t="shared" si="17"/>
        <v>23.576345733558952</v>
      </c>
      <c r="O234">
        <f t="shared" si="16"/>
        <v>116.90671830296179</v>
      </c>
      <c r="P234">
        <f t="shared" si="18"/>
        <v>111.97136388881907</v>
      </c>
      <c r="Q234">
        <f t="shared" si="19"/>
        <v>4.9353544141427221</v>
      </c>
    </row>
    <row r="235" spans="1:17" x14ac:dyDescent="0.25">
      <c r="A235" s="1">
        <v>58.34</v>
      </c>
      <c r="B235">
        <v>117.69</v>
      </c>
      <c r="C235">
        <v>117.6</v>
      </c>
      <c r="D235">
        <v>114</v>
      </c>
      <c r="E235" t="s">
        <v>13</v>
      </c>
      <c r="F235">
        <v>0</v>
      </c>
      <c r="G235">
        <v>1</v>
      </c>
      <c r="H235">
        <v>1</v>
      </c>
      <c r="I235">
        <v>0</v>
      </c>
      <c r="J235">
        <v>0</v>
      </c>
      <c r="L235">
        <f t="shared" si="14"/>
        <v>125.27283040102608</v>
      </c>
      <c r="M235">
        <f t="shared" si="15"/>
        <v>101.69648466746713</v>
      </c>
      <c r="N235">
        <f t="shared" si="17"/>
        <v>23.576345733558952</v>
      </c>
      <c r="O235">
        <f t="shared" si="16"/>
        <v>116.90671830296179</v>
      </c>
      <c r="P235">
        <f t="shared" si="18"/>
        <v>111.97136388881907</v>
      </c>
      <c r="Q235">
        <f t="shared" si="19"/>
        <v>4.9353544141427221</v>
      </c>
    </row>
    <row r="236" spans="1:17" hidden="1" x14ac:dyDescent="0.25">
      <c r="A236">
        <v>58.6</v>
      </c>
      <c r="B236">
        <v>117.69</v>
      </c>
      <c r="C236">
        <v>117.6</v>
      </c>
      <c r="D236">
        <v>114</v>
      </c>
      <c r="E236" t="s">
        <v>13</v>
      </c>
      <c r="F236">
        <v>0</v>
      </c>
      <c r="G236">
        <v>1</v>
      </c>
      <c r="H236">
        <v>1</v>
      </c>
      <c r="I236">
        <v>0</v>
      </c>
      <c r="J236">
        <v>0</v>
      </c>
      <c r="L236">
        <f t="shared" si="14"/>
        <v>125.27283040102608</v>
      </c>
      <c r="M236">
        <f t="shared" si="15"/>
        <v>101.69648466746713</v>
      </c>
      <c r="N236">
        <f t="shared" si="17"/>
        <v>23.576345733558952</v>
      </c>
      <c r="O236">
        <f t="shared" si="16"/>
        <v>116.90671830296179</v>
      </c>
      <c r="P236">
        <f t="shared" si="18"/>
        <v>111.97136388881907</v>
      </c>
      <c r="Q236">
        <f t="shared" si="19"/>
        <v>4.9353544141427221</v>
      </c>
    </row>
    <row r="237" spans="1:17" hidden="1" x14ac:dyDescent="0.25">
      <c r="A237">
        <v>58.86</v>
      </c>
      <c r="B237">
        <v>26.07</v>
      </c>
      <c r="C237">
        <v>102.5</v>
      </c>
      <c r="D237">
        <v>114</v>
      </c>
      <c r="E237" t="s">
        <v>12</v>
      </c>
      <c r="F237">
        <v>0</v>
      </c>
      <c r="G237">
        <v>0</v>
      </c>
      <c r="H237">
        <v>1</v>
      </c>
      <c r="I237">
        <v>0</v>
      </c>
      <c r="J237">
        <v>0</v>
      </c>
      <c r="L237">
        <f t="shared" si="14"/>
        <v>125.27283040102608</v>
      </c>
      <c r="M237">
        <f t="shared" si="15"/>
        <v>101.69648466746713</v>
      </c>
      <c r="N237">
        <f t="shared" si="17"/>
        <v>23.576345733558952</v>
      </c>
      <c r="O237">
        <f t="shared" si="16"/>
        <v>116.90671830296179</v>
      </c>
      <c r="P237">
        <f t="shared" si="18"/>
        <v>111.97136388881907</v>
      </c>
      <c r="Q237">
        <f t="shared" si="19"/>
        <v>4.9353544141427221</v>
      </c>
    </row>
    <row r="238" spans="1:17" hidden="1" x14ac:dyDescent="0.25">
      <c r="A238">
        <v>59.1</v>
      </c>
      <c r="B238">
        <v>20.71</v>
      </c>
      <c r="C238">
        <v>72</v>
      </c>
      <c r="D238">
        <v>114</v>
      </c>
      <c r="E238" t="s">
        <v>12</v>
      </c>
      <c r="F238">
        <v>0</v>
      </c>
      <c r="G238">
        <v>0</v>
      </c>
      <c r="H238">
        <v>1</v>
      </c>
      <c r="I238">
        <v>0</v>
      </c>
      <c r="J238">
        <v>0</v>
      </c>
      <c r="L238">
        <f t="shared" si="14"/>
        <v>125.27283040102608</v>
      </c>
      <c r="M238">
        <f t="shared" si="15"/>
        <v>101.69648466746713</v>
      </c>
      <c r="N238">
        <f t="shared" si="17"/>
        <v>23.576345733558952</v>
      </c>
      <c r="O238">
        <f t="shared" si="16"/>
        <v>116.90671830296179</v>
      </c>
      <c r="P238">
        <f t="shared" si="18"/>
        <v>111.97136388881907</v>
      </c>
      <c r="Q238">
        <f t="shared" si="19"/>
        <v>4.9353544141427221</v>
      </c>
    </row>
    <row r="239" spans="1:17" hidden="1" x14ac:dyDescent="0.25">
      <c r="A239">
        <v>59.37</v>
      </c>
      <c r="B239">
        <v>16.07</v>
      </c>
      <c r="C239">
        <v>50.8</v>
      </c>
      <c r="D239">
        <v>114</v>
      </c>
      <c r="E239" t="s">
        <v>12</v>
      </c>
      <c r="F239">
        <v>0</v>
      </c>
      <c r="G239">
        <v>0</v>
      </c>
      <c r="H239">
        <v>1</v>
      </c>
      <c r="I239">
        <v>0</v>
      </c>
      <c r="J239">
        <v>0</v>
      </c>
      <c r="L239">
        <f t="shared" si="14"/>
        <v>125.27283040102608</v>
      </c>
      <c r="M239">
        <f t="shared" si="15"/>
        <v>101.69648466746713</v>
      </c>
      <c r="N239">
        <f t="shared" si="17"/>
        <v>23.576345733558952</v>
      </c>
      <c r="O239">
        <f t="shared" si="16"/>
        <v>116.90671830296179</v>
      </c>
      <c r="P239">
        <f t="shared" si="18"/>
        <v>111.97136388881907</v>
      </c>
      <c r="Q239">
        <f t="shared" si="19"/>
        <v>4.9353544141427221</v>
      </c>
    </row>
    <row r="240" spans="1:17" hidden="1" x14ac:dyDescent="0.25">
      <c r="A240">
        <v>59.62</v>
      </c>
      <c r="B240">
        <v>10</v>
      </c>
      <c r="C240">
        <v>36</v>
      </c>
      <c r="D240">
        <v>114</v>
      </c>
      <c r="E240" t="s">
        <v>11</v>
      </c>
      <c r="F240">
        <v>1</v>
      </c>
      <c r="G240">
        <v>0</v>
      </c>
      <c r="H240">
        <v>1</v>
      </c>
      <c r="I240">
        <v>0</v>
      </c>
      <c r="J240">
        <v>0</v>
      </c>
      <c r="L240">
        <f t="shared" si="14"/>
        <v>125.27283040102608</v>
      </c>
      <c r="M240">
        <f t="shared" si="15"/>
        <v>101.69648466746713</v>
      </c>
      <c r="N240">
        <f t="shared" si="17"/>
        <v>23.576345733558952</v>
      </c>
      <c r="O240">
        <f t="shared" si="16"/>
        <v>116.90671830296179</v>
      </c>
      <c r="P240">
        <f t="shared" si="18"/>
        <v>111.97136388881907</v>
      </c>
      <c r="Q240">
        <f t="shared" si="19"/>
        <v>4.9353544141427221</v>
      </c>
    </row>
    <row r="241" spans="1:17" hidden="1" x14ac:dyDescent="0.25">
      <c r="A241">
        <v>59.87</v>
      </c>
      <c r="B241">
        <v>6.43</v>
      </c>
      <c r="C241">
        <v>25</v>
      </c>
      <c r="D241">
        <v>114</v>
      </c>
      <c r="E241" t="s">
        <v>11</v>
      </c>
      <c r="F241">
        <v>1</v>
      </c>
      <c r="G241">
        <v>0</v>
      </c>
      <c r="H241">
        <v>1</v>
      </c>
      <c r="I241">
        <v>0</v>
      </c>
      <c r="J241">
        <v>0</v>
      </c>
      <c r="L241">
        <f t="shared" si="14"/>
        <v>125.27283040102608</v>
      </c>
      <c r="M241">
        <f t="shared" si="15"/>
        <v>101.69648466746713</v>
      </c>
      <c r="N241">
        <f t="shared" si="17"/>
        <v>23.576345733558952</v>
      </c>
      <c r="O241">
        <f t="shared" si="16"/>
        <v>116.90671830296179</v>
      </c>
      <c r="P241">
        <f t="shared" si="18"/>
        <v>111.97136388881907</v>
      </c>
      <c r="Q241">
        <f t="shared" si="19"/>
        <v>4.9353544141427221</v>
      </c>
    </row>
    <row r="242" spans="1:17" hidden="1" x14ac:dyDescent="0.25">
      <c r="A242">
        <v>60.13</v>
      </c>
      <c r="B242">
        <v>0</v>
      </c>
      <c r="C242">
        <v>16</v>
      </c>
      <c r="D242">
        <v>114</v>
      </c>
      <c r="E242" t="s">
        <v>10</v>
      </c>
      <c r="F242">
        <v>0</v>
      </c>
      <c r="G242">
        <v>0</v>
      </c>
      <c r="H242">
        <v>1</v>
      </c>
      <c r="I242">
        <v>0</v>
      </c>
      <c r="J242">
        <v>1</v>
      </c>
      <c r="L242">
        <f t="shared" si="14"/>
        <v>125.27283040102608</v>
      </c>
      <c r="M242">
        <f t="shared" si="15"/>
        <v>101.69648466746713</v>
      </c>
      <c r="N242">
        <f t="shared" si="17"/>
        <v>23.576345733558952</v>
      </c>
      <c r="O242">
        <f t="shared" si="16"/>
        <v>116.90671830296179</v>
      </c>
      <c r="P242">
        <f t="shared" si="18"/>
        <v>111.97136388881907</v>
      </c>
      <c r="Q242">
        <f t="shared" si="19"/>
        <v>4.9353544141427221</v>
      </c>
    </row>
    <row r="243" spans="1:17" hidden="1" x14ac:dyDescent="0.25">
      <c r="A243">
        <v>60.37</v>
      </c>
      <c r="B243">
        <v>0</v>
      </c>
      <c r="C243">
        <v>9.6999999999999993</v>
      </c>
      <c r="D243">
        <v>114</v>
      </c>
      <c r="E243" t="s">
        <v>10</v>
      </c>
      <c r="F243">
        <v>0</v>
      </c>
      <c r="G243">
        <v>0</v>
      </c>
      <c r="H243">
        <v>1</v>
      </c>
      <c r="I243">
        <v>0</v>
      </c>
      <c r="J243">
        <v>1</v>
      </c>
      <c r="L243">
        <f t="shared" si="14"/>
        <v>125.27283040102608</v>
      </c>
      <c r="M243">
        <f t="shared" si="15"/>
        <v>101.69648466746713</v>
      </c>
      <c r="N243">
        <f t="shared" si="17"/>
        <v>23.576345733558952</v>
      </c>
      <c r="O243">
        <f t="shared" si="16"/>
        <v>116.90671830296179</v>
      </c>
      <c r="P243">
        <f t="shared" si="18"/>
        <v>111.97136388881907</v>
      </c>
      <c r="Q243">
        <f t="shared" si="19"/>
        <v>4.9353544141427221</v>
      </c>
    </row>
    <row r="244" spans="1:17" hidden="1" x14ac:dyDescent="0.25">
      <c r="A244">
        <v>60.62</v>
      </c>
      <c r="B244">
        <v>0</v>
      </c>
      <c r="C244">
        <v>5.8</v>
      </c>
      <c r="D244">
        <v>114</v>
      </c>
      <c r="E244" t="s">
        <v>10</v>
      </c>
      <c r="F244">
        <v>0</v>
      </c>
      <c r="G244">
        <v>0</v>
      </c>
      <c r="H244">
        <v>1</v>
      </c>
      <c r="I244">
        <v>0</v>
      </c>
      <c r="J244">
        <v>1</v>
      </c>
      <c r="L244">
        <f t="shared" si="14"/>
        <v>125.27283040102608</v>
      </c>
      <c r="M244">
        <f t="shared" si="15"/>
        <v>101.69648466746713</v>
      </c>
      <c r="N244">
        <f t="shared" si="17"/>
        <v>23.576345733558952</v>
      </c>
      <c r="O244">
        <f t="shared" si="16"/>
        <v>116.90671830296179</v>
      </c>
      <c r="P244">
        <f t="shared" si="18"/>
        <v>111.97136388881907</v>
      </c>
      <c r="Q244">
        <f t="shared" si="19"/>
        <v>4.9353544141427221</v>
      </c>
    </row>
    <row r="245" spans="1:17" hidden="1" x14ac:dyDescent="0.25">
      <c r="A245">
        <v>60.9</v>
      </c>
      <c r="B245">
        <v>0</v>
      </c>
      <c r="C245">
        <v>3.5</v>
      </c>
      <c r="D245">
        <v>114</v>
      </c>
      <c r="E245" t="s">
        <v>10</v>
      </c>
      <c r="F245">
        <v>0</v>
      </c>
      <c r="G245">
        <v>0</v>
      </c>
      <c r="H245">
        <v>1</v>
      </c>
      <c r="I245">
        <v>0</v>
      </c>
      <c r="J245">
        <v>1</v>
      </c>
      <c r="L245">
        <f t="shared" si="14"/>
        <v>125.27283040102608</v>
      </c>
      <c r="M245">
        <f t="shared" si="15"/>
        <v>101.69648466746713</v>
      </c>
      <c r="N245">
        <f t="shared" si="17"/>
        <v>23.576345733558952</v>
      </c>
      <c r="O245">
        <f t="shared" si="16"/>
        <v>116.90671830296179</v>
      </c>
      <c r="P245">
        <f t="shared" si="18"/>
        <v>111.97136388881907</v>
      </c>
      <c r="Q245">
        <f t="shared" si="19"/>
        <v>4.9353544141427221</v>
      </c>
    </row>
    <row r="246" spans="1:17" hidden="1" x14ac:dyDescent="0.25">
      <c r="A246">
        <v>61.13</v>
      </c>
      <c r="B246">
        <v>0</v>
      </c>
      <c r="C246">
        <v>2.1</v>
      </c>
      <c r="D246">
        <v>114</v>
      </c>
      <c r="E246" t="s">
        <v>10</v>
      </c>
      <c r="F246">
        <v>0</v>
      </c>
      <c r="G246">
        <v>0</v>
      </c>
      <c r="H246">
        <v>1</v>
      </c>
      <c r="I246">
        <v>0</v>
      </c>
      <c r="J246">
        <v>1</v>
      </c>
      <c r="L246">
        <f t="shared" si="14"/>
        <v>125.27283040102608</v>
      </c>
      <c r="M246">
        <f t="shared" si="15"/>
        <v>101.69648466746713</v>
      </c>
      <c r="N246">
        <f t="shared" si="17"/>
        <v>23.576345733558952</v>
      </c>
      <c r="O246">
        <f t="shared" si="16"/>
        <v>116.90671830296179</v>
      </c>
      <c r="P246">
        <f t="shared" si="18"/>
        <v>111.97136388881907</v>
      </c>
      <c r="Q246">
        <f t="shared" si="19"/>
        <v>4.9353544141427221</v>
      </c>
    </row>
    <row r="247" spans="1:17" hidden="1" x14ac:dyDescent="0.25">
      <c r="A247">
        <v>61.38</v>
      </c>
      <c r="B247">
        <v>0</v>
      </c>
      <c r="C247">
        <v>1.3</v>
      </c>
      <c r="D247">
        <v>114</v>
      </c>
      <c r="E247" t="s">
        <v>10</v>
      </c>
      <c r="F247">
        <v>0</v>
      </c>
      <c r="G247">
        <v>0</v>
      </c>
      <c r="H247">
        <v>1</v>
      </c>
      <c r="I247">
        <v>0</v>
      </c>
      <c r="J247">
        <v>1</v>
      </c>
      <c r="L247">
        <f t="shared" si="14"/>
        <v>125.27283040102608</v>
      </c>
      <c r="M247">
        <f t="shared" si="15"/>
        <v>101.69648466746713</v>
      </c>
      <c r="N247">
        <f t="shared" si="17"/>
        <v>23.576345733558952</v>
      </c>
      <c r="O247">
        <f t="shared" si="16"/>
        <v>116.90671830296179</v>
      </c>
      <c r="P247">
        <f t="shared" si="18"/>
        <v>111.97136388881907</v>
      </c>
      <c r="Q247">
        <f t="shared" si="19"/>
        <v>4.9353544141427221</v>
      </c>
    </row>
    <row r="248" spans="1:17" hidden="1" x14ac:dyDescent="0.25">
      <c r="A248">
        <v>61.63</v>
      </c>
      <c r="B248">
        <v>0</v>
      </c>
      <c r="C248">
        <v>0.7</v>
      </c>
      <c r="D248">
        <v>114</v>
      </c>
      <c r="E248" t="s">
        <v>10</v>
      </c>
      <c r="F248">
        <v>0</v>
      </c>
      <c r="G248">
        <v>0</v>
      </c>
      <c r="H248">
        <v>1</v>
      </c>
      <c r="I248">
        <v>0</v>
      </c>
      <c r="J248">
        <v>1</v>
      </c>
      <c r="L248">
        <f t="shared" si="14"/>
        <v>125.27283040102608</v>
      </c>
      <c r="M248">
        <f t="shared" si="15"/>
        <v>101.69648466746713</v>
      </c>
      <c r="N248">
        <f t="shared" si="17"/>
        <v>23.576345733558952</v>
      </c>
      <c r="O248">
        <f t="shared" si="16"/>
        <v>116.90671830296179</v>
      </c>
      <c r="P248">
        <f t="shared" si="18"/>
        <v>111.97136388881907</v>
      </c>
      <c r="Q248">
        <f t="shared" si="19"/>
        <v>4.9353544141427221</v>
      </c>
    </row>
    <row r="249" spans="1:17" hidden="1" x14ac:dyDescent="0.25">
      <c r="A249">
        <v>61.88</v>
      </c>
      <c r="B249">
        <v>0</v>
      </c>
      <c r="C249">
        <v>0.4</v>
      </c>
      <c r="D249">
        <v>114</v>
      </c>
      <c r="E249" t="s">
        <v>10</v>
      </c>
      <c r="F249">
        <v>0</v>
      </c>
      <c r="G249">
        <v>0</v>
      </c>
      <c r="H249">
        <v>1</v>
      </c>
      <c r="I249">
        <v>0</v>
      </c>
      <c r="J249">
        <v>1</v>
      </c>
      <c r="L249">
        <f t="shared" si="14"/>
        <v>125.27283040102608</v>
      </c>
      <c r="M249">
        <f t="shared" si="15"/>
        <v>101.69648466746713</v>
      </c>
      <c r="N249">
        <f t="shared" si="17"/>
        <v>23.576345733558952</v>
      </c>
      <c r="O249">
        <f t="shared" si="16"/>
        <v>116.90671830296179</v>
      </c>
      <c r="P249">
        <f t="shared" si="18"/>
        <v>111.97136388881907</v>
      </c>
      <c r="Q249">
        <f t="shared" si="19"/>
        <v>4.9353544141427221</v>
      </c>
    </row>
    <row r="250" spans="1:17" hidden="1" x14ac:dyDescent="0.25">
      <c r="A250">
        <v>62.14</v>
      </c>
      <c r="B250">
        <v>0</v>
      </c>
      <c r="C250">
        <v>0.2</v>
      </c>
      <c r="D250">
        <v>114</v>
      </c>
      <c r="E250" t="s">
        <v>10</v>
      </c>
      <c r="F250">
        <v>0</v>
      </c>
      <c r="G250">
        <v>0</v>
      </c>
      <c r="H250">
        <v>1</v>
      </c>
      <c r="I250">
        <v>0</v>
      </c>
      <c r="J250">
        <v>1</v>
      </c>
      <c r="L250">
        <f t="shared" si="14"/>
        <v>125.27283040102608</v>
      </c>
      <c r="M250">
        <f t="shared" si="15"/>
        <v>101.69648466746713</v>
      </c>
      <c r="N250">
        <f t="shared" si="17"/>
        <v>23.576345733558952</v>
      </c>
      <c r="O250">
        <f t="shared" si="16"/>
        <v>116.90671830296179</v>
      </c>
      <c r="P250">
        <f t="shared" si="18"/>
        <v>111.97136388881907</v>
      </c>
      <c r="Q250">
        <f t="shared" si="19"/>
        <v>4.9353544141427221</v>
      </c>
    </row>
    <row r="251" spans="1:17" hidden="1" x14ac:dyDescent="0.25">
      <c r="A251">
        <v>62.39</v>
      </c>
      <c r="B251">
        <v>0</v>
      </c>
      <c r="C251">
        <v>0.1</v>
      </c>
      <c r="D251">
        <v>114</v>
      </c>
      <c r="E251" t="s">
        <v>10</v>
      </c>
      <c r="F251">
        <v>0</v>
      </c>
      <c r="G251">
        <v>0</v>
      </c>
      <c r="H251">
        <v>1</v>
      </c>
      <c r="I251">
        <v>0</v>
      </c>
      <c r="J251">
        <v>1</v>
      </c>
      <c r="L251">
        <f t="shared" si="14"/>
        <v>125.27283040102608</v>
      </c>
      <c r="M251">
        <f t="shared" si="15"/>
        <v>101.69648466746713</v>
      </c>
      <c r="N251">
        <f t="shared" si="17"/>
        <v>23.576345733558952</v>
      </c>
      <c r="O251">
        <f t="shared" si="16"/>
        <v>116.90671830296179</v>
      </c>
      <c r="P251">
        <f t="shared" si="18"/>
        <v>111.97136388881907</v>
      </c>
      <c r="Q251">
        <f t="shared" si="19"/>
        <v>4.9353544141427221</v>
      </c>
    </row>
    <row r="252" spans="1:17" hidden="1" x14ac:dyDescent="0.25">
      <c r="A252">
        <v>62.66</v>
      </c>
      <c r="B252">
        <v>0</v>
      </c>
      <c r="C252">
        <v>0.1</v>
      </c>
      <c r="D252">
        <v>114</v>
      </c>
      <c r="E252" t="s">
        <v>10</v>
      </c>
      <c r="F252">
        <v>0</v>
      </c>
      <c r="G252">
        <v>0</v>
      </c>
      <c r="H252">
        <v>1</v>
      </c>
      <c r="I252">
        <v>0</v>
      </c>
      <c r="J252">
        <v>1</v>
      </c>
      <c r="L252">
        <f t="shared" si="14"/>
        <v>125.27283040102608</v>
      </c>
      <c r="M252">
        <f t="shared" si="15"/>
        <v>101.69648466746713</v>
      </c>
      <c r="N252">
        <f t="shared" si="17"/>
        <v>23.576345733558952</v>
      </c>
      <c r="O252">
        <f t="shared" si="16"/>
        <v>116.90671830296179</v>
      </c>
      <c r="P252">
        <f t="shared" si="18"/>
        <v>111.97136388881907</v>
      </c>
      <c r="Q252">
        <f t="shared" si="19"/>
        <v>4.9353544141427221</v>
      </c>
    </row>
    <row r="253" spans="1:17" hidden="1" x14ac:dyDescent="0.25">
      <c r="A253">
        <v>62.91</v>
      </c>
      <c r="B253">
        <v>0</v>
      </c>
      <c r="C253">
        <v>0</v>
      </c>
      <c r="D253">
        <v>114</v>
      </c>
      <c r="E253" t="s">
        <v>10</v>
      </c>
      <c r="F253">
        <v>0</v>
      </c>
      <c r="G253">
        <v>0</v>
      </c>
      <c r="H253">
        <v>1</v>
      </c>
      <c r="I253">
        <v>0</v>
      </c>
      <c r="J253">
        <v>1</v>
      </c>
      <c r="L253">
        <f t="shared" si="14"/>
        <v>125.27283040102608</v>
      </c>
      <c r="M253">
        <f t="shared" si="15"/>
        <v>101.69648466746713</v>
      </c>
      <c r="N253">
        <f t="shared" si="17"/>
        <v>23.576345733558952</v>
      </c>
      <c r="O253">
        <f t="shared" si="16"/>
        <v>116.90671830296179</v>
      </c>
      <c r="P253">
        <f t="shared" si="18"/>
        <v>111.97136388881907</v>
      </c>
      <c r="Q253">
        <f t="shared" si="19"/>
        <v>4.9353544141427221</v>
      </c>
    </row>
    <row r="254" spans="1:17" hidden="1" x14ac:dyDescent="0.25">
      <c r="A254">
        <v>63.14</v>
      </c>
      <c r="B254">
        <v>0</v>
      </c>
      <c r="C254">
        <v>0</v>
      </c>
      <c r="D254">
        <v>114</v>
      </c>
      <c r="E254" t="s">
        <v>10</v>
      </c>
      <c r="F254">
        <v>0</v>
      </c>
      <c r="G254">
        <v>0</v>
      </c>
      <c r="H254">
        <v>1</v>
      </c>
      <c r="I254">
        <v>0</v>
      </c>
      <c r="J254">
        <v>1</v>
      </c>
      <c r="L254">
        <f t="shared" si="14"/>
        <v>125.27283040102608</v>
      </c>
      <c r="M254">
        <f t="shared" si="15"/>
        <v>101.69648466746713</v>
      </c>
      <c r="N254">
        <f t="shared" si="17"/>
        <v>23.576345733558952</v>
      </c>
      <c r="O254">
        <f t="shared" si="16"/>
        <v>116.90671830296179</v>
      </c>
      <c r="P254">
        <f t="shared" si="18"/>
        <v>111.97136388881907</v>
      </c>
      <c r="Q254">
        <f t="shared" si="19"/>
        <v>4.9353544141427221</v>
      </c>
    </row>
    <row r="255" spans="1:17" hidden="1" x14ac:dyDescent="0.25">
      <c r="A255">
        <v>63.4</v>
      </c>
      <c r="B255">
        <v>0</v>
      </c>
      <c r="C255">
        <v>0</v>
      </c>
      <c r="D255">
        <v>114</v>
      </c>
      <c r="E255" t="s">
        <v>10</v>
      </c>
      <c r="F255">
        <v>0</v>
      </c>
      <c r="G255">
        <v>0</v>
      </c>
      <c r="H255">
        <v>1</v>
      </c>
      <c r="I255">
        <v>0</v>
      </c>
      <c r="J255">
        <v>1</v>
      </c>
      <c r="L255">
        <f t="shared" si="14"/>
        <v>125.27283040102608</v>
      </c>
      <c r="M255">
        <f t="shared" si="15"/>
        <v>101.69648466746713</v>
      </c>
      <c r="N255">
        <f t="shared" si="17"/>
        <v>23.576345733558952</v>
      </c>
      <c r="O255">
        <f t="shared" si="16"/>
        <v>116.90671830296179</v>
      </c>
      <c r="P255">
        <f t="shared" si="18"/>
        <v>111.97136388881907</v>
      </c>
      <c r="Q255">
        <f t="shared" si="19"/>
        <v>4.9353544141427221</v>
      </c>
    </row>
    <row r="256" spans="1:17" hidden="1" x14ac:dyDescent="0.25">
      <c r="A256">
        <v>63.65</v>
      </c>
      <c r="B256">
        <v>0</v>
      </c>
      <c r="C256">
        <v>0</v>
      </c>
      <c r="D256">
        <v>114</v>
      </c>
      <c r="E256" t="s">
        <v>10</v>
      </c>
      <c r="F256">
        <v>0</v>
      </c>
      <c r="G256">
        <v>0</v>
      </c>
      <c r="H256">
        <v>1</v>
      </c>
      <c r="I256">
        <v>0</v>
      </c>
      <c r="J256">
        <v>1</v>
      </c>
      <c r="L256">
        <f t="shared" si="14"/>
        <v>125.27283040102608</v>
      </c>
      <c r="M256">
        <f t="shared" si="15"/>
        <v>101.69648466746713</v>
      </c>
      <c r="N256">
        <f t="shared" si="17"/>
        <v>23.576345733558952</v>
      </c>
      <c r="O256">
        <f t="shared" si="16"/>
        <v>116.90671830296179</v>
      </c>
      <c r="P256">
        <f t="shared" si="18"/>
        <v>111.97136388881907</v>
      </c>
      <c r="Q256">
        <f t="shared" si="19"/>
        <v>4.9353544141427221</v>
      </c>
    </row>
    <row r="257" spans="1:17" hidden="1" x14ac:dyDescent="0.25">
      <c r="A257">
        <v>63.9</v>
      </c>
      <c r="B257">
        <v>0</v>
      </c>
      <c r="C257">
        <v>0</v>
      </c>
      <c r="D257">
        <v>114</v>
      </c>
      <c r="E257" t="s">
        <v>10</v>
      </c>
      <c r="F257">
        <v>0</v>
      </c>
      <c r="G257">
        <v>0</v>
      </c>
      <c r="H257">
        <v>1</v>
      </c>
      <c r="I257">
        <v>0</v>
      </c>
      <c r="J257">
        <v>1</v>
      </c>
      <c r="L257">
        <f t="shared" si="14"/>
        <v>125.27283040102608</v>
      </c>
      <c r="M257">
        <f t="shared" si="15"/>
        <v>101.69648466746713</v>
      </c>
      <c r="N257">
        <f t="shared" si="17"/>
        <v>23.576345733558952</v>
      </c>
      <c r="O257">
        <f t="shared" si="16"/>
        <v>116.90671830296179</v>
      </c>
      <c r="P257">
        <f t="shared" si="18"/>
        <v>111.97136388881907</v>
      </c>
      <c r="Q257">
        <f t="shared" si="19"/>
        <v>4.9353544141427221</v>
      </c>
    </row>
    <row r="258" spans="1:17" hidden="1" x14ac:dyDescent="0.25">
      <c r="A258">
        <v>64.16</v>
      </c>
      <c r="B258">
        <v>0</v>
      </c>
      <c r="C258">
        <v>0</v>
      </c>
      <c r="D258">
        <v>114</v>
      </c>
      <c r="E258" t="s">
        <v>10</v>
      </c>
      <c r="F258">
        <v>0</v>
      </c>
      <c r="G258">
        <v>0</v>
      </c>
      <c r="H258">
        <v>1</v>
      </c>
      <c r="I258">
        <v>0</v>
      </c>
      <c r="J258">
        <v>1</v>
      </c>
      <c r="L258">
        <f t="shared" ref="L258:L321" si="20">$R$103+$R$100</f>
        <v>125.27283040102608</v>
      </c>
      <c r="M258">
        <f t="shared" ref="M258:M321" si="21">$R$103-$R$100</f>
        <v>101.69648466746713</v>
      </c>
      <c r="N258">
        <f t="shared" si="17"/>
        <v>23.576345733558952</v>
      </c>
      <c r="O258">
        <f t="shared" si="16"/>
        <v>116.90671830296179</v>
      </c>
      <c r="P258">
        <f t="shared" si="18"/>
        <v>111.97136388881907</v>
      </c>
      <c r="Q258">
        <f t="shared" si="19"/>
        <v>4.9353544141427221</v>
      </c>
    </row>
    <row r="259" spans="1:17" hidden="1" x14ac:dyDescent="0.25">
      <c r="A259">
        <v>64.41</v>
      </c>
      <c r="B259">
        <v>0</v>
      </c>
      <c r="C259">
        <v>0</v>
      </c>
      <c r="D259">
        <v>114</v>
      </c>
      <c r="E259" t="s">
        <v>10</v>
      </c>
      <c r="F259">
        <v>0</v>
      </c>
      <c r="G259">
        <v>0</v>
      </c>
      <c r="H259">
        <v>1</v>
      </c>
      <c r="I259">
        <v>0</v>
      </c>
      <c r="J259">
        <v>1</v>
      </c>
      <c r="L259">
        <f t="shared" si="20"/>
        <v>125.27283040102608</v>
      </c>
      <c r="M259">
        <f t="shared" si="21"/>
        <v>101.69648466746713</v>
      </c>
      <c r="N259">
        <f t="shared" si="17"/>
        <v>23.576345733558952</v>
      </c>
      <c r="O259">
        <f t="shared" si="16"/>
        <v>116.90671830296179</v>
      </c>
      <c r="P259">
        <f t="shared" si="18"/>
        <v>111.97136388881907</v>
      </c>
      <c r="Q259">
        <f t="shared" si="19"/>
        <v>4.9353544141427221</v>
      </c>
    </row>
    <row r="260" spans="1:17" hidden="1" x14ac:dyDescent="0.25">
      <c r="A260">
        <v>64.67</v>
      </c>
      <c r="B260">
        <v>0</v>
      </c>
      <c r="C260">
        <v>0</v>
      </c>
      <c r="D260">
        <v>114</v>
      </c>
      <c r="E260" t="s">
        <v>10</v>
      </c>
      <c r="F260">
        <v>0</v>
      </c>
      <c r="G260">
        <v>0</v>
      </c>
      <c r="H260">
        <v>1</v>
      </c>
      <c r="I260">
        <v>0</v>
      </c>
      <c r="J260">
        <v>1</v>
      </c>
      <c r="L260">
        <f t="shared" si="20"/>
        <v>125.27283040102608</v>
      </c>
      <c r="M260">
        <f t="shared" si="21"/>
        <v>101.69648466746713</v>
      </c>
      <c r="N260">
        <f t="shared" si="17"/>
        <v>23.576345733558952</v>
      </c>
      <c r="O260">
        <f t="shared" si="16"/>
        <v>116.90671830296179</v>
      </c>
      <c r="P260">
        <f t="shared" si="18"/>
        <v>111.97136388881907</v>
      </c>
      <c r="Q260">
        <f t="shared" si="19"/>
        <v>4.9353544141427221</v>
      </c>
    </row>
    <row r="261" spans="1:17" hidden="1" x14ac:dyDescent="0.25">
      <c r="A261">
        <v>64.91</v>
      </c>
      <c r="B261">
        <v>0</v>
      </c>
      <c r="C261">
        <v>0</v>
      </c>
      <c r="D261">
        <v>114</v>
      </c>
      <c r="E261" t="s">
        <v>10</v>
      </c>
      <c r="F261">
        <v>0</v>
      </c>
      <c r="G261">
        <v>0</v>
      </c>
      <c r="H261">
        <v>1</v>
      </c>
      <c r="I261">
        <v>0</v>
      </c>
      <c r="J261">
        <v>1</v>
      </c>
      <c r="L261">
        <f t="shared" si="20"/>
        <v>125.27283040102608</v>
      </c>
      <c r="M261">
        <f t="shared" si="21"/>
        <v>101.69648466746713</v>
      </c>
      <c r="N261">
        <f t="shared" si="17"/>
        <v>23.576345733558952</v>
      </c>
      <c r="O261">
        <f t="shared" si="16"/>
        <v>116.90671830296179</v>
      </c>
      <c r="P261">
        <f t="shared" si="18"/>
        <v>111.97136388881907</v>
      </c>
      <c r="Q261">
        <f t="shared" si="19"/>
        <v>4.9353544141427221</v>
      </c>
    </row>
    <row r="262" spans="1:17" hidden="1" x14ac:dyDescent="0.25">
      <c r="A262">
        <v>65.16</v>
      </c>
      <c r="B262">
        <v>0</v>
      </c>
      <c r="C262">
        <v>0</v>
      </c>
      <c r="D262">
        <v>114</v>
      </c>
      <c r="E262" t="s">
        <v>10</v>
      </c>
      <c r="F262">
        <v>0</v>
      </c>
      <c r="G262">
        <v>0</v>
      </c>
      <c r="H262">
        <v>1</v>
      </c>
      <c r="I262">
        <v>0</v>
      </c>
      <c r="J262">
        <v>1</v>
      </c>
      <c r="L262">
        <f t="shared" si="20"/>
        <v>125.27283040102608</v>
      </c>
      <c r="M262">
        <f t="shared" si="21"/>
        <v>101.69648466746713</v>
      </c>
      <c r="N262">
        <f t="shared" si="17"/>
        <v>23.576345733558952</v>
      </c>
      <c r="O262">
        <f t="shared" si="16"/>
        <v>116.90671830296179</v>
      </c>
      <c r="P262">
        <f t="shared" si="18"/>
        <v>111.97136388881907</v>
      </c>
      <c r="Q262">
        <f t="shared" si="19"/>
        <v>4.9353544141427221</v>
      </c>
    </row>
    <row r="263" spans="1:17" hidden="1" x14ac:dyDescent="0.25">
      <c r="A263">
        <v>65.41</v>
      </c>
      <c r="B263">
        <v>0</v>
      </c>
      <c r="C263">
        <v>0</v>
      </c>
      <c r="D263">
        <v>114</v>
      </c>
      <c r="E263" t="s">
        <v>10</v>
      </c>
      <c r="F263">
        <v>0</v>
      </c>
      <c r="G263">
        <v>0</v>
      </c>
      <c r="H263">
        <v>1</v>
      </c>
      <c r="I263">
        <v>0</v>
      </c>
      <c r="J263">
        <v>1</v>
      </c>
      <c r="L263">
        <f t="shared" si="20"/>
        <v>125.27283040102608</v>
      </c>
      <c r="M263">
        <f t="shared" si="21"/>
        <v>101.69648466746713</v>
      </c>
      <c r="N263">
        <f t="shared" si="17"/>
        <v>23.576345733558952</v>
      </c>
      <c r="O263">
        <f t="shared" si="16"/>
        <v>116.90671830296179</v>
      </c>
      <c r="P263">
        <f t="shared" si="18"/>
        <v>111.97136388881907</v>
      </c>
      <c r="Q263">
        <f t="shared" si="19"/>
        <v>4.9353544141427221</v>
      </c>
    </row>
    <row r="264" spans="1:17" hidden="1" x14ac:dyDescent="0.25">
      <c r="A264">
        <v>65.67</v>
      </c>
      <c r="B264">
        <v>0</v>
      </c>
      <c r="C264">
        <v>0</v>
      </c>
      <c r="D264">
        <v>114</v>
      </c>
      <c r="E264" t="s">
        <v>10</v>
      </c>
      <c r="F264">
        <v>0</v>
      </c>
      <c r="G264">
        <v>0</v>
      </c>
      <c r="H264">
        <v>1</v>
      </c>
      <c r="I264">
        <v>0</v>
      </c>
      <c r="J264">
        <v>1</v>
      </c>
      <c r="L264">
        <f t="shared" si="20"/>
        <v>125.27283040102608</v>
      </c>
      <c r="M264">
        <f t="shared" si="21"/>
        <v>101.69648466746713</v>
      </c>
      <c r="N264">
        <f t="shared" si="17"/>
        <v>23.576345733558952</v>
      </c>
      <c r="O264">
        <f t="shared" ref="O264:O327" si="22">$S$103+$S$100</f>
        <v>116.90671830296179</v>
      </c>
      <c r="P264">
        <f t="shared" si="18"/>
        <v>111.97136388881907</v>
      </c>
      <c r="Q264">
        <f t="shared" si="19"/>
        <v>4.9353544141427221</v>
      </c>
    </row>
    <row r="265" spans="1:17" hidden="1" x14ac:dyDescent="0.25">
      <c r="A265">
        <v>65.95</v>
      </c>
      <c r="B265">
        <v>0</v>
      </c>
      <c r="C265">
        <v>0</v>
      </c>
      <c r="D265">
        <v>114</v>
      </c>
      <c r="E265" t="s">
        <v>10</v>
      </c>
      <c r="F265">
        <v>0</v>
      </c>
      <c r="G265">
        <v>0</v>
      </c>
      <c r="H265">
        <v>1</v>
      </c>
      <c r="I265">
        <v>0</v>
      </c>
      <c r="J265">
        <v>1</v>
      </c>
      <c r="L265">
        <f t="shared" si="20"/>
        <v>125.27283040102608</v>
      </c>
      <c r="M265">
        <f t="shared" si="21"/>
        <v>101.69648466746713</v>
      </c>
      <c r="N265">
        <f t="shared" si="17"/>
        <v>23.576345733558952</v>
      </c>
      <c r="O265">
        <f t="shared" si="22"/>
        <v>116.90671830296179</v>
      </c>
      <c r="P265">
        <f t="shared" si="18"/>
        <v>111.97136388881907</v>
      </c>
      <c r="Q265">
        <f t="shared" si="19"/>
        <v>4.9353544141427221</v>
      </c>
    </row>
    <row r="266" spans="1:17" hidden="1" x14ac:dyDescent="0.25">
      <c r="A266">
        <v>66.17</v>
      </c>
      <c r="B266">
        <v>0</v>
      </c>
      <c r="C266">
        <v>0</v>
      </c>
      <c r="D266">
        <v>114</v>
      </c>
      <c r="E266" t="s">
        <v>10</v>
      </c>
      <c r="F266">
        <v>0</v>
      </c>
      <c r="G266">
        <v>0</v>
      </c>
      <c r="H266">
        <v>1</v>
      </c>
      <c r="I266">
        <v>0</v>
      </c>
      <c r="J266">
        <v>1</v>
      </c>
      <c r="L266">
        <f t="shared" si="20"/>
        <v>125.27283040102608</v>
      </c>
      <c r="M266">
        <f t="shared" si="21"/>
        <v>101.69648466746713</v>
      </c>
      <c r="N266">
        <f t="shared" si="17"/>
        <v>23.576345733558952</v>
      </c>
      <c r="O266">
        <f t="shared" si="22"/>
        <v>116.90671830296179</v>
      </c>
      <c r="P266">
        <f t="shared" si="18"/>
        <v>111.97136388881907</v>
      </c>
      <c r="Q266">
        <f t="shared" si="19"/>
        <v>4.9353544141427221</v>
      </c>
    </row>
    <row r="267" spans="1:17" hidden="1" x14ac:dyDescent="0.25">
      <c r="A267">
        <v>66.42</v>
      </c>
      <c r="B267">
        <v>0</v>
      </c>
      <c r="C267">
        <v>0</v>
      </c>
      <c r="D267">
        <v>114</v>
      </c>
      <c r="E267" t="s">
        <v>10</v>
      </c>
      <c r="F267">
        <v>0</v>
      </c>
      <c r="G267">
        <v>0</v>
      </c>
      <c r="H267">
        <v>1</v>
      </c>
      <c r="I267">
        <v>0</v>
      </c>
      <c r="J267">
        <v>1</v>
      </c>
      <c r="L267">
        <f t="shared" si="20"/>
        <v>125.27283040102608</v>
      </c>
      <c r="M267">
        <f t="shared" si="21"/>
        <v>101.69648466746713</v>
      </c>
      <c r="N267">
        <f t="shared" si="17"/>
        <v>23.576345733558952</v>
      </c>
      <c r="O267">
        <f t="shared" si="22"/>
        <v>116.90671830296179</v>
      </c>
      <c r="P267">
        <f t="shared" si="18"/>
        <v>111.97136388881907</v>
      </c>
      <c r="Q267">
        <f t="shared" si="19"/>
        <v>4.9353544141427221</v>
      </c>
    </row>
    <row r="268" spans="1:17" hidden="1" x14ac:dyDescent="0.25">
      <c r="A268">
        <v>66.67</v>
      </c>
      <c r="B268">
        <v>0</v>
      </c>
      <c r="C268">
        <v>0</v>
      </c>
      <c r="D268">
        <v>114</v>
      </c>
      <c r="E268" t="s">
        <v>10</v>
      </c>
      <c r="F268">
        <v>0</v>
      </c>
      <c r="G268">
        <v>0</v>
      </c>
      <c r="H268">
        <v>1</v>
      </c>
      <c r="I268">
        <v>0</v>
      </c>
      <c r="J268">
        <v>1</v>
      </c>
      <c r="L268">
        <f t="shared" si="20"/>
        <v>125.27283040102608</v>
      </c>
      <c r="M268">
        <f t="shared" si="21"/>
        <v>101.69648466746713</v>
      </c>
      <c r="N268">
        <f t="shared" si="17"/>
        <v>23.576345733558952</v>
      </c>
      <c r="O268">
        <f t="shared" si="22"/>
        <v>116.90671830296179</v>
      </c>
      <c r="P268">
        <f t="shared" si="18"/>
        <v>111.97136388881907</v>
      </c>
      <c r="Q268">
        <f t="shared" si="19"/>
        <v>4.9353544141427221</v>
      </c>
    </row>
    <row r="269" spans="1:17" hidden="1" x14ac:dyDescent="0.25">
      <c r="A269">
        <v>66.92</v>
      </c>
      <c r="B269">
        <v>0</v>
      </c>
      <c r="C269">
        <v>0</v>
      </c>
      <c r="D269">
        <v>114</v>
      </c>
      <c r="E269" t="s">
        <v>10</v>
      </c>
      <c r="F269">
        <v>0</v>
      </c>
      <c r="G269">
        <v>0</v>
      </c>
      <c r="H269">
        <v>1</v>
      </c>
      <c r="I269">
        <v>0</v>
      </c>
      <c r="J269">
        <v>1</v>
      </c>
      <c r="L269">
        <f t="shared" si="20"/>
        <v>125.27283040102608</v>
      </c>
      <c r="M269">
        <f t="shared" si="21"/>
        <v>101.69648466746713</v>
      </c>
      <c r="N269">
        <f t="shared" si="17"/>
        <v>23.576345733558952</v>
      </c>
      <c r="O269">
        <f t="shared" si="22"/>
        <v>116.90671830296179</v>
      </c>
      <c r="P269">
        <f t="shared" si="18"/>
        <v>111.97136388881907</v>
      </c>
      <c r="Q269">
        <f t="shared" si="19"/>
        <v>4.9353544141427221</v>
      </c>
    </row>
    <row r="270" spans="1:17" hidden="1" x14ac:dyDescent="0.25">
      <c r="A270">
        <v>67.19</v>
      </c>
      <c r="B270">
        <v>0</v>
      </c>
      <c r="C270">
        <v>0</v>
      </c>
      <c r="D270">
        <v>114</v>
      </c>
      <c r="E270" t="s">
        <v>10</v>
      </c>
      <c r="F270">
        <v>0</v>
      </c>
      <c r="G270">
        <v>0</v>
      </c>
      <c r="H270">
        <v>1</v>
      </c>
      <c r="I270">
        <v>0</v>
      </c>
      <c r="J270">
        <v>1</v>
      </c>
      <c r="L270">
        <f t="shared" si="20"/>
        <v>125.27283040102608</v>
      </c>
      <c r="M270">
        <f t="shared" si="21"/>
        <v>101.69648466746713</v>
      </c>
      <c r="N270">
        <f t="shared" si="17"/>
        <v>23.576345733558952</v>
      </c>
      <c r="O270">
        <f t="shared" si="22"/>
        <v>116.90671830296179</v>
      </c>
      <c r="P270">
        <f t="shared" si="18"/>
        <v>111.97136388881907</v>
      </c>
      <c r="Q270">
        <f t="shared" si="19"/>
        <v>4.9353544141427221</v>
      </c>
    </row>
    <row r="271" spans="1:17" hidden="1" x14ac:dyDescent="0.25">
      <c r="A271">
        <v>67.430000000000007</v>
      </c>
      <c r="B271">
        <v>0</v>
      </c>
      <c r="C271">
        <v>0</v>
      </c>
      <c r="D271">
        <v>114</v>
      </c>
      <c r="E271" t="s">
        <v>10</v>
      </c>
      <c r="F271">
        <v>0</v>
      </c>
      <c r="G271">
        <v>0</v>
      </c>
      <c r="H271">
        <v>1</v>
      </c>
      <c r="I271">
        <v>0</v>
      </c>
      <c r="J271">
        <v>1</v>
      </c>
      <c r="L271">
        <f t="shared" si="20"/>
        <v>125.27283040102608</v>
      </c>
      <c r="M271">
        <f t="shared" si="21"/>
        <v>101.69648466746713</v>
      </c>
      <c r="N271">
        <f t="shared" si="17"/>
        <v>23.576345733558952</v>
      </c>
      <c r="O271">
        <f t="shared" si="22"/>
        <v>116.90671830296179</v>
      </c>
      <c r="P271">
        <f t="shared" si="18"/>
        <v>111.97136388881907</v>
      </c>
      <c r="Q271">
        <f t="shared" si="19"/>
        <v>4.9353544141427221</v>
      </c>
    </row>
    <row r="272" spans="1:17" hidden="1" x14ac:dyDescent="0.25">
      <c r="A272">
        <v>67.69</v>
      </c>
      <c r="B272">
        <v>0</v>
      </c>
      <c r="C272">
        <v>0</v>
      </c>
      <c r="D272">
        <v>114</v>
      </c>
      <c r="E272" t="s">
        <v>10</v>
      </c>
      <c r="F272">
        <v>0</v>
      </c>
      <c r="G272">
        <v>0</v>
      </c>
      <c r="H272">
        <v>1</v>
      </c>
      <c r="I272">
        <v>0</v>
      </c>
      <c r="J272">
        <v>1</v>
      </c>
      <c r="L272">
        <f t="shared" si="20"/>
        <v>125.27283040102608</v>
      </c>
      <c r="M272">
        <f t="shared" si="21"/>
        <v>101.69648466746713</v>
      </c>
      <c r="N272">
        <f t="shared" si="17"/>
        <v>23.576345733558952</v>
      </c>
      <c r="O272">
        <f t="shared" si="22"/>
        <v>116.90671830296179</v>
      </c>
      <c r="P272">
        <f t="shared" si="18"/>
        <v>111.97136388881907</v>
      </c>
      <c r="Q272">
        <f t="shared" si="19"/>
        <v>4.9353544141427221</v>
      </c>
    </row>
    <row r="273" spans="1:17" hidden="1" x14ac:dyDescent="0.25">
      <c r="A273">
        <v>67.930000000000007</v>
      </c>
      <c r="B273">
        <v>0</v>
      </c>
      <c r="C273">
        <v>0</v>
      </c>
      <c r="D273">
        <v>114</v>
      </c>
      <c r="E273" t="s">
        <v>10</v>
      </c>
      <c r="F273">
        <v>0</v>
      </c>
      <c r="G273">
        <v>0</v>
      </c>
      <c r="H273">
        <v>1</v>
      </c>
      <c r="I273">
        <v>0</v>
      </c>
      <c r="J273">
        <v>1</v>
      </c>
      <c r="L273">
        <f t="shared" si="20"/>
        <v>125.27283040102608</v>
      </c>
      <c r="M273">
        <f t="shared" si="21"/>
        <v>101.69648466746713</v>
      </c>
      <c r="N273">
        <f t="shared" si="17"/>
        <v>23.576345733558952</v>
      </c>
      <c r="O273">
        <f t="shared" si="22"/>
        <v>116.90671830296179</v>
      </c>
      <c r="P273">
        <f t="shared" si="18"/>
        <v>111.97136388881907</v>
      </c>
      <c r="Q273">
        <f t="shared" si="19"/>
        <v>4.9353544141427221</v>
      </c>
    </row>
    <row r="274" spans="1:17" hidden="1" x14ac:dyDescent="0.25">
      <c r="A274">
        <v>68.180000000000007</v>
      </c>
      <c r="B274">
        <v>0</v>
      </c>
      <c r="C274">
        <v>0</v>
      </c>
      <c r="D274">
        <v>114</v>
      </c>
      <c r="E274" t="s">
        <v>10</v>
      </c>
      <c r="F274">
        <v>0</v>
      </c>
      <c r="G274">
        <v>0</v>
      </c>
      <c r="H274">
        <v>1</v>
      </c>
      <c r="I274">
        <v>0</v>
      </c>
      <c r="J274">
        <v>1</v>
      </c>
      <c r="L274">
        <f t="shared" si="20"/>
        <v>125.27283040102608</v>
      </c>
      <c r="M274">
        <f t="shared" si="21"/>
        <v>101.69648466746713</v>
      </c>
      <c r="N274">
        <f t="shared" si="17"/>
        <v>23.576345733558952</v>
      </c>
      <c r="O274">
        <f t="shared" si="22"/>
        <v>116.90671830296179</v>
      </c>
      <c r="P274">
        <f t="shared" si="18"/>
        <v>111.97136388881907</v>
      </c>
      <c r="Q274">
        <f t="shared" si="19"/>
        <v>4.9353544141427221</v>
      </c>
    </row>
    <row r="275" spans="1:17" hidden="1" x14ac:dyDescent="0.25">
      <c r="A275">
        <v>68.44</v>
      </c>
      <c r="B275">
        <v>0</v>
      </c>
      <c r="C275">
        <v>0</v>
      </c>
      <c r="D275">
        <v>114</v>
      </c>
      <c r="E275" t="s">
        <v>10</v>
      </c>
      <c r="F275">
        <v>0</v>
      </c>
      <c r="G275">
        <v>0</v>
      </c>
      <c r="H275">
        <v>1</v>
      </c>
      <c r="I275">
        <v>0</v>
      </c>
      <c r="J275">
        <v>1</v>
      </c>
      <c r="L275">
        <f t="shared" si="20"/>
        <v>125.27283040102608</v>
      </c>
      <c r="M275">
        <f t="shared" si="21"/>
        <v>101.69648466746713</v>
      </c>
      <c r="N275">
        <f t="shared" si="17"/>
        <v>23.576345733558952</v>
      </c>
      <c r="O275">
        <f t="shared" si="22"/>
        <v>116.90671830296179</v>
      </c>
      <c r="P275">
        <f t="shared" si="18"/>
        <v>111.97136388881907</v>
      </c>
      <c r="Q275">
        <f t="shared" si="19"/>
        <v>4.9353544141427221</v>
      </c>
    </row>
    <row r="276" spans="1:17" hidden="1" x14ac:dyDescent="0.25">
      <c r="A276">
        <v>68.69</v>
      </c>
      <c r="B276">
        <v>0</v>
      </c>
      <c r="C276">
        <v>0</v>
      </c>
      <c r="D276">
        <v>114</v>
      </c>
      <c r="E276" t="s">
        <v>10</v>
      </c>
      <c r="F276">
        <v>0</v>
      </c>
      <c r="G276">
        <v>0</v>
      </c>
      <c r="H276">
        <v>1</v>
      </c>
      <c r="I276">
        <v>0</v>
      </c>
      <c r="J276">
        <v>1</v>
      </c>
      <c r="L276">
        <f t="shared" si="20"/>
        <v>125.27283040102608</v>
      </c>
      <c r="M276">
        <f t="shared" si="21"/>
        <v>101.69648466746713</v>
      </c>
      <c r="N276">
        <f t="shared" si="17"/>
        <v>23.576345733558952</v>
      </c>
      <c r="O276">
        <f t="shared" si="22"/>
        <v>116.90671830296179</v>
      </c>
      <c r="P276">
        <f t="shared" si="18"/>
        <v>111.97136388881907</v>
      </c>
      <c r="Q276">
        <f t="shared" si="19"/>
        <v>4.9353544141427221</v>
      </c>
    </row>
    <row r="277" spans="1:17" hidden="1" x14ac:dyDescent="0.25">
      <c r="A277">
        <v>68.94</v>
      </c>
      <c r="B277">
        <v>0</v>
      </c>
      <c r="C277">
        <v>0</v>
      </c>
      <c r="D277">
        <v>114</v>
      </c>
      <c r="E277" t="s">
        <v>10</v>
      </c>
      <c r="F277">
        <v>0</v>
      </c>
      <c r="G277">
        <v>0</v>
      </c>
      <c r="H277">
        <v>1</v>
      </c>
      <c r="I277">
        <v>0</v>
      </c>
      <c r="J277">
        <v>1</v>
      </c>
      <c r="L277">
        <f t="shared" si="20"/>
        <v>125.27283040102608</v>
      </c>
      <c r="M277">
        <f t="shared" si="21"/>
        <v>101.69648466746713</v>
      </c>
      <c r="N277">
        <f t="shared" si="17"/>
        <v>23.576345733558952</v>
      </c>
      <c r="O277">
        <f t="shared" si="22"/>
        <v>116.90671830296179</v>
      </c>
      <c r="P277">
        <f t="shared" si="18"/>
        <v>111.97136388881907</v>
      </c>
      <c r="Q277">
        <f t="shared" si="19"/>
        <v>4.9353544141427221</v>
      </c>
    </row>
    <row r="278" spans="1:17" hidden="1" x14ac:dyDescent="0.25">
      <c r="A278">
        <v>69.2</v>
      </c>
      <c r="B278">
        <v>0</v>
      </c>
      <c r="C278">
        <v>0</v>
      </c>
      <c r="D278">
        <v>114</v>
      </c>
      <c r="E278" t="s">
        <v>10</v>
      </c>
      <c r="F278">
        <v>0</v>
      </c>
      <c r="G278">
        <v>0</v>
      </c>
      <c r="H278">
        <v>1</v>
      </c>
      <c r="I278">
        <v>0</v>
      </c>
      <c r="J278">
        <v>1</v>
      </c>
      <c r="L278">
        <f t="shared" si="20"/>
        <v>125.27283040102608</v>
      </c>
      <c r="M278">
        <f t="shared" si="21"/>
        <v>101.69648466746713</v>
      </c>
      <c r="N278">
        <f t="shared" si="17"/>
        <v>23.576345733558952</v>
      </c>
      <c r="O278">
        <f t="shared" si="22"/>
        <v>116.90671830296179</v>
      </c>
      <c r="P278">
        <f t="shared" si="18"/>
        <v>111.97136388881907</v>
      </c>
      <c r="Q278">
        <f t="shared" si="19"/>
        <v>4.9353544141427221</v>
      </c>
    </row>
    <row r="279" spans="1:17" hidden="1" x14ac:dyDescent="0.25">
      <c r="A279">
        <v>69.45</v>
      </c>
      <c r="B279">
        <v>0</v>
      </c>
      <c r="C279">
        <v>0</v>
      </c>
      <c r="D279">
        <v>114</v>
      </c>
      <c r="E279" t="s">
        <v>10</v>
      </c>
      <c r="F279">
        <v>0</v>
      </c>
      <c r="G279">
        <v>0</v>
      </c>
      <c r="H279">
        <v>1</v>
      </c>
      <c r="I279">
        <v>0</v>
      </c>
      <c r="J279">
        <v>1</v>
      </c>
      <c r="L279">
        <f t="shared" si="20"/>
        <v>125.27283040102608</v>
      </c>
      <c r="M279">
        <f t="shared" si="21"/>
        <v>101.69648466746713</v>
      </c>
      <c r="N279">
        <f t="shared" si="17"/>
        <v>23.576345733558952</v>
      </c>
      <c r="O279">
        <f t="shared" si="22"/>
        <v>116.90671830296179</v>
      </c>
      <c r="P279">
        <f t="shared" si="18"/>
        <v>111.97136388881907</v>
      </c>
      <c r="Q279">
        <f t="shared" si="19"/>
        <v>4.9353544141427221</v>
      </c>
    </row>
    <row r="280" spans="1:17" hidden="1" x14ac:dyDescent="0.25">
      <c r="A280">
        <v>69.7</v>
      </c>
      <c r="B280">
        <v>0</v>
      </c>
      <c r="C280">
        <v>0</v>
      </c>
      <c r="D280">
        <v>114</v>
      </c>
      <c r="E280" t="s">
        <v>10</v>
      </c>
      <c r="F280">
        <v>0</v>
      </c>
      <c r="G280">
        <v>0</v>
      </c>
      <c r="H280">
        <v>1</v>
      </c>
      <c r="I280">
        <v>0</v>
      </c>
      <c r="J280">
        <v>1</v>
      </c>
      <c r="L280">
        <f t="shared" si="20"/>
        <v>125.27283040102608</v>
      </c>
      <c r="M280">
        <f t="shared" si="21"/>
        <v>101.69648466746713</v>
      </c>
      <c r="N280">
        <f t="shared" si="17"/>
        <v>23.576345733558952</v>
      </c>
      <c r="O280">
        <f t="shared" si="22"/>
        <v>116.90671830296179</v>
      </c>
      <c r="P280">
        <f t="shared" si="18"/>
        <v>111.97136388881907</v>
      </c>
      <c r="Q280">
        <f t="shared" si="19"/>
        <v>4.9353544141427221</v>
      </c>
    </row>
    <row r="281" spans="1:17" hidden="1" x14ac:dyDescent="0.25">
      <c r="A281">
        <v>69.95</v>
      </c>
      <c r="B281">
        <v>0</v>
      </c>
      <c r="C281">
        <v>0</v>
      </c>
      <c r="D281">
        <v>114</v>
      </c>
      <c r="E281" t="s">
        <v>10</v>
      </c>
      <c r="F281">
        <v>0</v>
      </c>
      <c r="G281">
        <v>0</v>
      </c>
      <c r="H281">
        <v>1</v>
      </c>
      <c r="I281">
        <v>0</v>
      </c>
      <c r="J281">
        <v>1</v>
      </c>
      <c r="L281">
        <f t="shared" si="20"/>
        <v>125.27283040102608</v>
      </c>
      <c r="M281">
        <f t="shared" si="21"/>
        <v>101.69648466746713</v>
      </c>
      <c r="N281">
        <f t="shared" si="17"/>
        <v>23.576345733558952</v>
      </c>
      <c r="O281">
        <f t="shared" si="22"/>
        <v>116.90671830296179</v>
      </c>
      <c r="P281">
        <f t="shared" si="18"/>
        <v>111.97136388881907</v>
      </c>
      <c r="Q281">
        <f t="shared" si="19"/>
        <v>4.9353544141427221</v>
      </c>
    </row>
    <row r="282" spans="1:17" hidden="1" x14ac:dyDescent="0.25">
      <c r="A282">
        <v>70.2</v>
      </c>
      <c r="B282">
        <v>0</v>
      </c>
      <c r="C282">
        <v>0</v>
      </c>
      <c r="D282">
        <v>114</v>
      </c>
      <c r="E282" t="s">
        <v>10</v>
      </c>
      <c r="F282">
        <v>0</v>
      </c>
      <c r="G282">
        <v>0</v>
      </c>
      <c r="H282">
        <v>1</v>
      </c>
      <c r="I282">
        <v>0</v>
      </c>
      <c r="J282">
        <v>1</v>
      </c>
      <c r="L282">
        <f t="shared" si="20"/>
        <v>125.27283040102608</v>
      </c>
      <c r="M282">
        <f t="shared" si="21"/>
        <v>101.69648466746713</v>
      </c>
      <c r="N282">
        <f t="shared" si="17"/>
        <v>23.576345733558952</v>
      </c>
      <c r="O282">
        <f t="shared" si="22"/>
        <v>116.90671830296179</v>
      </c>
      <c r="P282">
        <f t="shared" si="18"/>
        <v>111.97136388881907</v>
      </c>
      <c r="Q282">
        <f t="shared" si="19"/>
        <v>4.9353544141427221</v>
      </c>
    </row>
    <row r="283" spans="1:17" hidden="1" x14ac:dyDescent="0.25">
      <c r="A283">
        <v>70.459999999999994</v>
      </c>
      <c r="B283">
        <v>0</v>
      </c>
      <c r="C283">
        <v>0</v>
      </c>
      <c r="D283">
        <v>114</v>
      </c>
      <c r="E283" t="s">
        <v>10</v>
      </c>
      <c r="F283">
        <v>0</v>
      </c>
      <c r="G283">
        <v>0</v>
      </c>
      <c r="H283">
        <v>1</v>
      </c>
      <c r="I283">
        <v>0</v>
      </c>
      <c r="J283">
        <v>1</v>
      </c>
      <c r="L283">
        <f t="shared" si="20"/>
        <v>125.27283040102608</v>
      </c>
      <c r="M283">
        <f t="shared" si="21"/>
        <v>101.69648466746713</v>
      </c>
      <c r="N283">
        <f t="shared" ref="N283:N346" si="23">L283-M283</f>
        <v>23.576345733558952</v>
      </c>
      <c r="O283">
        <f t="shared" si="22"/>
        <v>116.90671830296179</v>
      </c>
      <c r="P283">
        <f t="shared" ref="P283:P346" si="24">$S$103-$S$100</f>
        <v>111.97136388881907</v>
      </c>
      <c r="Q283">
        <f t="shared" ref="Q283:Q346" si="25">O283-P283</f>
        <v>4.9353544141427221</v>
      </c>
    </row>
    <row r="284" spans="1:17" hidden="1" x14ac:dyDescent="0.25">
      <c r="A284">
        <v>70.7</v>
      </c>
      <c r="B284">
        <v>0</v>
      </c>
      <c r="C284">
        <v>0</v>
      </c>
      <c r="D284">
        <v>114</v>
      </c>
      <c r="E284" t="s">
        <v>10</v>
      </c>
      <c r="F284">
        <v>0</v>
      </c>
      <c r="G284">
        <v>0</v>
      </c>
      <c r="H284">
        <v>1</v>
      </c>
      <c r="I284">
        <v>0</v>
      </c>
      <c r="J284">
        <v>1</v>
      </c>
      <c r="L284">
        <f t="shared" si="20"/>
        <v>125.27283040102608</v>
      </c>
      <c r="M284">
        <f t="shared" si="21"/>
        <v>101.69648466746713</v>
      </c>
      <c r="N284">
        <f t="shared" si="23"/>
        <v>23.576345733558952</v>
      </c>
      <c r="O284">
        <f t="shared" si="22"/>
        <v>116.90671830296179</v>
      </c>
      <c r="P284">
        <f t="shared" si="24"/>
        <v>111.97136388881907</v>
      </c>
      <c r="Q284">
        <f t="shared" si="25"/>
        <v>4.9353544141427221</v>
      </c>
    </row>
    <row r="285" spans="1:17" hidden="1" x14ac:dyDescent="0.25">
      <c r="A285">
        <v>70.959999999999994</v>
      </c>
      <c r="B285">
        <v>0</v>
      </c>
      <c r="C285">
        <v>0</v>
      </c>
      <c r="D285">
        <v>114</v>
      </c>
      <c r="E285" t="s">
        <v>10</v>
      </c>
      <c r="F285">
        <v>0</v>
      </c>
      <c r="G285">
        <v>0</v>
      </c>
      <c r="H285">
        <v>1</v>
      </c>
      <c r="I285">
        <v>0</v>
      </c>
      <c r="J285">
        <v>1</v>
      </c>
      <c r="L285">
        <f t="shared" si="20"/>
        <v>125.27283040102608</v>
      </c>
      <c r="M285">
        <f t="shared" si="21"/>
        <v>101.69648466746713</v>
      </c>
      <c r="N285">
        <f t="shared" si="23"/>
        <v>23.576345733558952</v>
      </c>
      <c r="O285">
        <f t="shared" si="22"/>
        <v>116.90671830296179</v>
      </c>
      <c r="P285">
        <f t="shared" si="24"/>
        <v>111.97136388881907</v>
      </c>
      <c r="Q285">
        <f t="shared" si="25"/>
        <v>4.9353544141427221</v>
      </c>
    </row>
    <row r="286" spans="1:17" hidden="1" x14ac:dyDescent="0.25">
      <c r="A286">
        <v>71.209999999999994</v>
      </c>
      <c r="B286">
        <v>0</v>
      </c>
      <c r="C286">
        <v>0</v>
      </c>
      <c r="D286">
        <v>114</v>
      </c>
      <c r="E286" t="s">
        <v>10</v>
      </c>
      <c r="F286">
        <v>0</v>
      </c>
      <c r="G286">
        <v>0</v>
      </c>
      <c r="H286">
        <v>1</v>
      </c>
      <c r="I286">
        <v>0</v>
      </c>
      <c r="J286">
        <v>1</v>
      </c>
      <c r="L286">
        <f t="shared" si="20"/>
        <v>125.27283040102608</v>
      </c>
      <c r="M286">
        <f t="shared" si="21"/>
        <v>101.69648466746713</v>
      </c>
      <c r="N286">
        <f t="shared" si="23"/>
        <v>23.576345733558952</v>
      </c>
      <c r="O286">
        <f t="shared" si="22"/>
        <v>116.90671830296179</v>
      </c>
      <c r="P286">
        <f t="shared" si="24"/>
        <v>111.97136388881907</v>
      </c>
      <c r="Q286">
        <f t="shared" si="25"/>
        <v>4.9353544141427221</v>
      </c>
    </row>
    <row r="287" spans="1:17" hidden="1" x14ac:dyDescent="0.25">
      <c r="A287">
        <v>71.459999999999994</v>
      </c>
      <c r="B287">
        <v>0</v>
      </c>
      <c r="C287">
        <v>0</v>
      </c>
      <c r="D287">
        <v>114</v>
      </c>
      <c r="E287" t="s">
        <v>10</v>
      </c>
      <c r="F287">
        <v>0</v>
      </c>
      <c r="G287">
        <v>0</v>
      </c>
      <c r="H287">
        <v>1</v>
      </c>
      <c r="I287">
        <v>0</v>
      </c>
      <c r="J287">
        <v>1</v>
      </c>
      <c r="L287">
        <f t="shared" si="20"/>
        <v>125.27283040102608</v>
      </c>
      <c r="M287">
        <f t="shared" si="21"/>
        <v>101.69648466746713</v>
      </c>
      <c r="N287">
        <f t="shared" si="23"/>
        <v>23.576345733558952</v>
      </c>
      <c r="O287">
        <f t="shared" si="22"/>
        <v>116.90671830296179</v>
      </c>
      <c r="P287">
        <f t="shared" si="24"/>
        <v>111.97136388881907</v>
      </c>
      <c r="Q287">
        <f t="shared" si="25"/>
        <v>4.9353544141427221</v>
      </c>
    </row>
    <row r="288" spans="1:17" hidden="1" x14ac:dyDescent="0.25">
      <c r="A288">
        <v>71.73</v>
      </c>
      <c r="B288">
        <v>0</v>
      </c>
      <c r="C288">
        <v>0</v>
      </c>
      <c r="D288">
        <v>114</v>
      </c>
      <c r="E288" t="s">
        <v>10</v>
      </c>
      <c r="F288">
        <v>0</v>
      </c>
      <c r="G288">
        <v>0</v>
      </c>
      <c r="H288">
        <v>1</v>
      </c>
      <c r="I288">
        <v>0</v>
      </c>
      <c r="J288">
        <v>1</v>
      </c>
      <c r="L288">
        <f t="shared" si="20"/>
        <v>125.27283040102608</v>
      </c>
      <c r="M288">
        <f t="shared" si="21"/>
        <v>101.69648466746713</v>
      </c>
      <c r="N288">
        <f t="shared" si="23"/>
        <v>23.576345733558952</v>
      </c>
      <c r="O288">
        <f t="shared" si="22"/>
        <v>116.90671830296179</v>
      </c>
      <c r="P288">
        <f t="shared" si="24"/>
        <v>111.97136388881907</v>
      </c>
      <c r="Q288">
        <f t="shared" si="25"/>
        <v>4.9353544141427221</v>
      </c>
    </row>
    <row r="289" spans="1:17" hidden="1" x14ac:dyDescent="0.25">
      <c r="A289">
        <v>71.97</v>
      </c>
      <c r="B289">
        <v>0</v>
      </c>
      <c r="C289">
        <v>0</v>
      </c>
      <c r="D289">
        <v>114</v>
      </c>
      <c r="E289" t="s">
        <v>10</v>
      </c>
      <c r="F289">
        <v>0</v>
      </c>
      <c r="G289">
        <v>0</v>
      </c>
      <c r="H289">
        <v>1</v>
      </c>
      <c r="I289">
        <v>0</v>
      </c>
      <c r="J289">
        <v>1</v>
      </c>
      <c r="L289">
        <f t="shared" si="20"/>
        <v>125.27283040102608</v>
      </c>
      <c r="M289">
        <f t="shared" si="21"/>
        <v>101.69648466746713</v>
      </c>
      <c r="N289">
        <f t="shared" si="23"/>
        <v>23.576345733558952</v>
      </c>
      <c r="O289">
        <f t="shared" si="22"/>
        <v>116.90671830296179</v>
      </c>
      <c r="P289">
        <f t="shared" si="24"/>
        <v>111.97136388881907</v>
      </c>
      <c r="Q289">
        <f t="shared" si="25"/>
        <v>4.9353544141427221</v>
      </c>
    </row>
    <row r="290" spans="1:17" hidden="1" x14ac:dyDescent="0.25">
      <c r="A290">
        <v>72.22</v>
      </c>
      <c r="B290">
        <v>0</v>
      </c>
      <c r="C290">
        <v>0</v>
      </c>
      <c r="D290">
        <v>114</v>
      </c>
      <c r="E290" t="s">
        <v>10</v>
      </c>
      <c r="F290">
        <v>0</v>
      </c>
      <c r="G290">
        <v>0</v>
      </c>
      <c r="H290">
        <v>1</v>
      </c>
      <c r="I290">
        <v>0</v>
      </c>
      <c r="J290">
        <v>1</v>
      </c>
      <c r="L290">
        <f t="shared" si="20"/>
        <v>125.27283040102608</v>
      </c>
      <c r="M290">
        <f t="shared" si="21"/>
        <v>101.69648466746713</v>
      </c>
      <c r="N290">
        <f t="shared" si="23"/>
        <v>23.576345733558952</v>
      </c>
      <c r="O290">
        <f t="shared" si="22"/>
        <v>116.90671830296179</v>
      </c>
      <c r="P290">
        <f t="shared" si="24"/>
        <v>111.97136388881907</v>
      </c>
      <c r="Q290">
        <f t="shared" si="25"/>
        <v>4.9353544141427221</v>
      </c>
    </row>
    <row r="291" spans="1:17" hidden="1" x14ac:dyDescent="0.25">
      <c r="A291">
        <v>72.47</v>
      </c>
      <c r="B291">
        <v>0</v>
      </c>
      <c r="C291">
        <v>0</v>
      </c>
      <c r="D291">
        <v>114</v>
      </c>
      <c r="E291" t="s">
        <v>10</v>
      </c>
      <c r="F291">
        <v>0</v>
      </c>
      <c r="G291">
        <v>0</v>
      </c>
      <c r="H291">
        <v>1</v>
      </c>
      <c r="I291">
        <v>0</v>
      </c>
      <c r="J291">
        <v>1</v>
      </c>
      <c r="L291">
        <f t="shared" si="20"/>
        <v>125.27283040102608</v>
      </c>
      <c r="M291">
        <f t="shared" si="21"/>
        <v>101.69648466746713</v>
      </c>
      <c r="N291">
        <f t="shared" si="23"/>
        <v>23.576345733558952</v>
      </c>
      <c r="O291">
        <f t="shared" si="22"/>
        <v>116.90671830296179</v>
      </c>
      <c r="P291">
        <f t="shared" si="24"/>
        <v>111.97136388881907</v>
      </c>
      <c r="Q291">
        <f t="shared" si="25"/>
        <v>4.9353544141427221</v>
      </c>
    </row>
    <row r="292" spans="1:17" hidden="1" x14ac:dyDescent="0.25">
      <c r="A292">
        <v>72.72</v>
      </c>
      <c r="B292">
        <v>0</v>
      </c>
      <c r="C292">
        <v>0</v>
      </c>
      <c r="D292">
        <v>114</v>
      </c>
      <c r="E292" t="s">
        <v>10</v>
      </c>
      <c r="F292">
        <v>0</v>
      </c>
      <c r="G292">
        <v>0</v>
      </c>
      <c r="H292">
        <v>1</v>
      </c>
      <c r="I292">
        <v>0</v>
      </c>
      <c r="J292">
        <v>1</v>
      </c>
      <c r="L292">
        <f t="shared" si="20"/>
        <v>125.27283040102608</v>
      </c>
      <c r="M292">
        <f t="shared" si="21"/>
        <v>101.69648466746713</v>
      </c>
      <c r="N292">
        <f t="shared" si="23"/>
        <v>23.576345733558952</v>
      </c>
      <c r="O292">
        <f t="shared" si="22"/>
        <v>116.90671830296179</v>
      </c>
      <c r="P292">
        <f t="shared" si="24"/>
        <v>111.97136388881907</v>
      </c>
      <c r="Q292">
        <f t="shared" si="25"/>
        <v>4.9353544141427221</v>
      </c>
    </row>
    <row r="293" spans="1:17" hidden="1" x14ac:dyDescent="0.25">
      <c r="A293">
        <v>72.97</v>
      </c>
      <c r="B293">
        <v>0</v>
      </c>
      <c r="C293">
        <v>0</v>
      </c>
      <c r="D293">
        <v>114</v>
      </c>
      <c r="E293" t="s">
        <v>10</v>
      </c>
      <c r="F293">
        <v>0</v>
      </c>
      <c r="G293">
        <v>0</v>
      </c>
      <c r="H293">
        <v>1</v>
      </c>
      <c r="I293">
        <v>0</v>
      </c>
      <c r="J293">
        <v>1</v>
      </c>
      <c r="L293">
        <f t="shared" si="20"/>
        <v>125.27283040102608</v>
      </c>
      <c r="M293">
        <f t="shared" si="21"/>
        <v>101.69648466746713</v>
      </c>
      <c r="N293">
        <f t="shared" si="23"/>
        <v>23.576345733558952</v>
      </c>
      <c r="O293">
        <f t="shared" si="22"/>
        <v>116.90671830296179</v>
      </c>
      <c r="P293">
        <f t="shared" si="24"/>
        <v>111.97136388881907</v>
      </c>
      <c r="Q293">
        <f t="shared" si="25"/>
        <v>4.9353544141427221</v>
      </c>
    </row>
    <row r="294" spans="1:17" hidden="1" x14ac:dyDescent="0.25">
      <c r="A294">
        <v>73.23</v>
      </c>
      <c r="B294">
        <v>0</v>
      </c>
      <c r="C294">
        <v>0</v>
      </c>
      <c r="D294">
        <v>114</v>
      </c>
      <c r="E294" t="s">
        <v>10</v>
      </c>
      <c r="F294">
        <v>0</v>
      </c>
      <c r="G294">
        <v>0</v>
      </c>
      <c r="H294">
        <v>1</v>
      </c>
      <c r="I294">
        <v>0</v>
      </c>
      <c r="J294">
        <v>1</v>
      </c>
      <c r="L294">
        <f t="shared" si="20"/>
        <v>125.27283040102608</v>
      </c>
      <c r="M294">
        <f t="shared" si="21"/>
        <v>101.69648466746713</v>
      </c>
      <c r="N294">
        <f t="shared" si="23"/>
        <v>23.576345733558952</v>
      </c>
      <c r="O294">
        <f t="shared" si="22"/>
        <v>116.90671830296179</v>
      </c>
      <c r="P294">
        <f t="shared" si="24"/>
        <v>111.97136388881907</v>
      </c>
      <c r="Q294">
        <f t="shared" si="25"/>
        <v>4.9353544141427221</v>
      </c>
    </row>
    <row r="295" spans="1:17" hidden="1" x14ac:dyDescent="0.25">
      <c r="A295">
        <v>73.48</v>
      </c>
      <c r="B295">
        <v>0</v>
      </c>
      <c r="C295">
        <v>0</v>
      </c>
      <c r="D295">
        <v>114</v>
      </c>
      <c r="E295" t="s">
        <v>10</v>
      </c>
      <c r="F295">
        <v>0</v>
      </c>
      <c r="G295">
        <v>0</v>
      </c>
      <c r="H295">
        <v>1</v>
      </c>
      <c r="I295">
        <v>0</v>
      </c>
      <c r="J295">
        <v>1</v>
      </c>
      <c r="L295">
        <f t="shared" si="20"/>
        <v>125.27283040102608</v>
      </c>
      <c r="M295">
        <f t="shared" si="21"/>
        <v>101.69648466746713</v>
      </c>
      <c r="N295">
        <f t="shared" si="23"/>
        <v>23.576345733558952</v>
      </c>
      <c r="O295">
        <f t="shared" si="22"/>
        <v>116.90671830296179</v>
      </c>
      <c r="P295">
        <f t="shared" si="24"/>
        <v>111.97136388881907</v>
      </c>
      <c r="Q295">
        <f t="shared" si="25"/>
        <v>4.9353544141427221</v>
      </c>
    </row>
    <row r="296" spans="1:17" hidden="1" x14ac:dyDescent="0.25">
      <c r="A296">
        <v>73.73</v>
      </c>
      <c r="B296">
        <v>0</v>
      </c>
      <c r="C296">
        <v>0</v>
      </c>
      <c r="D296">
        <v>114</v>
      </c>
      <c r="E296" t="s">
        <v>10</v>
      </c>
      <c r="F296">
        <v>0</v>
      </c>
      <c r="G296">
        <v>0</v>
      </c>
      <c r="H296">
        <v>1</v>
      </c>
      <c r="I296">
        <v>0</v>
      </c>
      <c r="J296">
        <v>1</v>
      </c>
      <c r="L296">
        <f t="shared" si="20"/>
        <v>125.27283040102608</v>
      </c>
      <c r="M296">
        <f t="shared" si="21"/>
        <v>101.69648466746713</v>
      </c>
      <c r="N296">
        <f t="shared" si="23"/>
        <v>23.576345733558952</v>
      </c>
      <c r="O296">
        <f t="shared" si="22"/>
        <v>116.90671830296179</v>
      </c>
      <c r="P296">
        <f t="shared" si="24"/>
        <v>111.97136388881907</v>
      </c>
      <c r="Q296">
        <f t="shared" si="25"/>
        <v>4.9353544141427221</v>
      </c>
    </row>
    <row r="297" spans="1:17" hidden="1" x14ac:dyDescent="0.25">
      <c r="A297">
        <v>73.98</v>
      </c>
      <c r="B297">
        <v>0</v>
      </c>
      <c r="C297">
        <v>0</v>
      </c>
      <c r="D297">
        <v>114</v>
      </c>
      <c r="E297" t="s">
        <v>10</v>
      </c>
      <c r="F297">
        <v>0</v>
      </c>
      <c r="G297">
        <v>0</v>
      </c>
      <c r="H297">
        <v>1</v>
      </c>
      <c r="I297">
        <v>0</v>
      </c>
      <c r="J297">
        <v>1</v>
      </c>
      <c r="L297">
        <f t="shared" si="20"/>
        <v>125.27283040102608</v>
      </c>
      <c r="M297">
        <f t="shared" si="21"/>
        <v>101.69648466746713</v>
      </c>
      <c r="N297">
        <f t="shared" si="23"/>
        <v>23.576345733558952</v>
      </c>
      <c r="O297">
        <f t="shared" si="22"/>
        <v>116.90671830296179</v>
      </c>
      <c r="P297">
        <f t="shared" si="24"/>
        <v>111.97136388881907</v>
      </c>
      <c r="Q297">
        <f t="shared" si="25"/>
        <v>4.9353544141427221</v>
      </c>
    </row>
    <row r="298" spans="1:17" hidden="1" x14ac:dyDescent="0.25">
      <c r="A298">
        <v>74.23</v>
      </c>
      <c r="B298">
        <v>0</v>
      </c>
      <c r="C298">
        <v>0</v>
      </c>
      <c r="D298">
        <v>114</v>
      </c>
      <c r="E298" t="s">
        <v>10</v>
      </c>
      <c r="F298">
        <v>0</v>
      </c>
      <c r="G298">
        <v>0</v>
      </c>
      <c r="H298">
        <v>1</v>
      </c>
      <c r="I298">
        <v>0</v>
      </c>
      <c r="J298">
        <v>1</v>
      </c>
      <c r="L298">
        <f t="shared" si="20"/>
        <v>125.27283040102608</v>
      </c>
      <c r="M298">
        <f t="shared" si="21"/>
        <v>101.69648466746713</v>
      </c>
      <c r="N298">
        <f t="shared" si="23"/>
        <v>23.576345733558952</v>
      </c>
      <c r="O298">
        <f t="shared" si="22"/>
        <v>116.90671830296179</v>
      </c>
      <c r="P298">
        <f t="shared" si="24"/>
        <v>111.97136388881907</v>
      </c>
      <c r="Q298">
        <f t="shared" si="25"/>
        <v>4.9353544141427221</v>
      </c>
    </row>
    <row r="299" spans="1:17" hidden="1" x14ac:dyDescent="0.25">
      <c r="A299">
        <v>74.489999999999995</v>
      </c>
      <c r="B299">
        <v>0</v>
      </c>
      <c r="C299">
        <v>0</v>
      </c>
      <c r="D299">
        <v>114</v>
      </c>
      <c r="E299" t="s">
        <v>10</v>
      </c>
      <c r="F299">
        <v>0</v>
      </c>
      <c r="G299">
        <v>0</v>
      </c>
      <c r="H299">
        <v>1</v>
      </c>
      <c r="I299">
        <v>0</v>
      </c>
      <c r="J299">
        <v>1</v>
      </c>
      <c r="L299">
        <f t="shared" si="20"/>
        <v>125.27283040102608</v>
      </c>
      <c r="M299">
        <f t="shared" si="21"/>
        <v>101.69648466746713</v>
      </c>
      <c r="N299">
        <f t="shared" si="23"/>
        <v>23.576345733558952</v>
      </c>
      <c r="O299">
        <f t="shared" si="22"/>
        <v>116.90671830296179</v>
      </c>
      <c r="P299">
        <f t="shared" si="24"/>
        <v>111.97136388881907</v>
      </c>
      <c r="Q299">
        <f t="shared" si="25"/>
        <v>4.9353544141427221</v>
      </c>
    </row>
    <row r="300" spans="1:17" hidden="1" x14ac:dyDescent="0.25">
      <c r="A300" s="2">
        <v>74.75</v>
      </c>
      <c r="B300">
        <v>0</v>
      </c>
      <c r="C300">
        <v>0</v>
      </c>
      <c r="D300">
        <v>114</v>
      </c>
      <c r="E300" t="s">
        <v>10</v>
      </c>
      <c r="F300">
        <v>0</v>
      </c>
      <c r="G300">
        <v>0</v>
      </c>
      <c r="H300">
        <v>1</v>
      </c>
      <c r="I300">
        <v>0</v>
      </c>
      <c r="J300">
        <v>1</v>
      </c>
      <c r="L300">
        <f t="shared" si="20"/>
        <v>125.27283040102608</v>
      </c>
      <c r="M300">
        <f t="shared" si="21"/>
        <v>101.69648466746713</v>
      </c>
      <c r="N300">
        <f t="shared" si="23"/>
        <v>23.576345733558952</v>
      </c>
      <c r="O300">
        <f t="shared" si="22"/>
        <v>116.90671830296179</v>
      </c>
      <c r="P300">
        <f t="shared" si="24"/>
        <v>111.97136388881907</v>
      </c>
      <c r="Q300">
        <f t="shared" si="25"/>
        <v>4.9353544141427221</v>
      </c>
    </row>
    <row r="301" spans="1:17" hidden="1" x14ac:dyDescent="0.25">
      <c r="A301">
        <v>74.989999999999995</v>
      </c>
      <c r="B301">
        <v>0</v>
      </c>
      <c r="C301">
        <v>0</v>
      </c>
      <c r="D301">
        <v>114</v>
      </c>
      <c r="E301" t="s">
        <v>10</v>
      </c>
      <c r="F301">
        <v>0</v>
      </c>
      <c r="G301">
        <v>0</v>
      </c>
      <c r="H301">
        <v>1</v>
      </c>
      <c r="I301">
        <v>0</v>
      </c>
      <c r="J301">
        <v>1</v>
      </c>
      <c r="L301">
        <f t="shared" si="20"/>
        <v>125.27283040102608</v>
      </c>
      <c r="M301">
        <f t="shared" si="21"/>
        <v>101.69648466746713</v>
      </c>
      <c r="N301">
        <f t="shared" si="23"/>
        <v>23.576345733558952</v>
      </c>
      <c r="O301">
        <f t="shared" si="22"/>
        <v>116.90671830296179</v>
      </c>
      <c r="P301">
        <f t="shared" si="24"/>
        <v>111.97136388881907</v>
      </c>
      <c r="Q301">
        <f t="shared" si="25"/>
        <v>4.9353544141427221</v>
      </c>
    </row>
    <row r="302" spans="1:17" hidden="1" x14ac:dyDescent="0.25">
      <c r="A302">
        <v>75.010000000000005</v>
      </c>
      <c r="B302">
        <v>0</v>
      </c>
      <c r="C302">
        <v>0</v>
      </c>
      <c r="D302">
        <v>114</v>
      </c>
      <c r="E302" t="s">
        <v>10</v>
      </c>
      <c r="F302">
        <v>0</v>
      </c>
      <c r="G302">
        <v>0</v>
      </c>
      <c r="H302">
        <v>0</v>
      </c>
      <c r="I302">
        <v>0</v>
      </c>
      <c r="J302">
        <v>0</v>
      </c>
      <c r="L302">
        <f t="shared" si="20"/>
        <v>125.27283040102608</v>
      </c>
      <c r="M302">
        <f t="shared" si="21"/>
        <v>101.69648466746713</v>
      </c>
      <c r="N302">
        <f t="shared" si="23"/>
        <v>23.576345733558952</v>
      </c>
      <c r="O302">
        <f t="shared" si="22"/>
        <v>116.90671830296179</v>
      </c>
      <c r="P302">
        <f t="shared" si="24"/>
        <v>111.97136388881907</v>
      </c>
      <c r="Q302">
        <f t="shared" si="25"/>
        <v>4.9353544141427221</v>
      </c>
    </row>
    <row r="303" spans="1:17" hidden="1" x14ac:dyDescent="0.25">
      <c r="A303">
        <v>75.03</v>
      </c>
      <c r="B303">
        <v>0</v>
      </c>
      <c r="C303">
        <v>0</v>
      </c>
      <c r="D303">
        <v>114</v>
      </c>
      <c r="E303" t="s">
        <v>10</v>
      </c>
      <c r="F303">
        <v>0</v>
      </c>
      <c r="G303">
        <v>0</v>
      </c>
      <c r="H303">
        <v>0</v>
      </c>
      <c r="I303">
        <v>0</v>
      </c>
      <c r="J303">
        <v>0</v>
      </c>
      <c r="L303">
        <f t="shared" si="20"/>
        <v>125.27283040102608</v>
      </c>
      <c r="M303">
        <f t="shared" si="21"/>
        <v>101.69648466746713</v>
      </c>
      <c r="N303">
        <f t="shared" si="23"/>
        <v>23.576345733558952</v>
      </c>
      <c r="O303">
        <f t="shared" si="22"/>
        <v>116.90671830296179</v>
      </c>
      <c r="P303">
        <f t="shared" si="24"/>
        <v>111.97136388881907</v>
      </c>
      <c r="Q303">
        <f t="shared" si="25"/>
        <v>4.9353544141427221</v>
      </c>
    </row>
    <row r="304" spans="1:17" hidden="1" x14ac:dyDescent="0.25">
      <c r="A304">
        <v>75.28</v>
      </c>
      <c r="B304">
        <v>0</v>
      </c>
      <c r="C304">
        <v>0</v>
      </c>
      <c r="D304">
        <v>114</v>
      </c>
      <c r="E304" t="s">
        <v>10</v>
      </c>
      <c r="F304">
        <v>0</v>
      </c>
      <c r="G304">
        <v>0</v>
      </c>
      <c r="H304">
        <v>0</v>
      </c>
      <c r="I304">
        <v>0</v>
      </c>
      <c r="J304">
        <v>0</v>
      </c>
      <c r="L304">
        <f t="shared" si="20"/>
        <v>125.27283040102608</v>
      </c>
      <c r="M304">
        <f t="shared" si="21"/>
        <v>101.69648466746713</v>
      </c>
      <c r="N304">
        <f t="shared" si="23"/>
        <v>23.576345733558952</v>
      </c>
      <c r="O304">
        <f t="shared" si="22"/>
        <v>116.90671830296179</v>
      </c>
      <c r="P304">
        <f t="shared" si="24"/>
        <v>111.97136388881907</v>
      </c>
      <c r="Q304">
        <f t="shared" si="25"/>
        <v>4.9353544141427221</v>
      </c>
    </row>
    <row r="305" spans="1:17" hidden="1" x14ac:dyDescent="0.25">
      <c r="A305">
        <v>75.53</v>
      </c>
      <c r="B305">
        <v>0</v>
      </c>
      <c r="C305">
        <v>0</v>
      </c>
      <c r="D305">
        <v>114</v>
      </c>
      <c r="E305" t="s">
        <v>10</v>
      </c>
      <c r="F305">
        <v>0</v>
      </c>
      <c r="G305">
        <v>0</v>
      </c>
      <c r="H305">
        <v>0</v>
      </c>
      <c r="I305">
        <v>0</v>
      </c>
      <c r="J305">
        <v>0</v>
      </c>
      <c r="L305">
        <f t="shared" si="20"/>
        <v>125.27283040102608</v>
      </c>
      <c r="M305">
        <f t="shared" si="21"/>
        <v>101.69648466746713</v>
      </c>
      <c r="N305">
        <f t="shared" si="23"/>
        <v>23.576345733558952</v>
      </c>
      <c r="O305">
        <f t="shared" si="22"/>
        <v>116.90671830296179</v>
      </c>
      <c r="P305">
        <f t="shared" si="24"/>
        <v>111.97136388881907</v>
      </c>
      <c r="Q305">
        <f t="shared" si="25"/>
        <v>4.9353544141427221</v>
      </c>
    </row>
    <row r="306" spans="1:17" hidden="1" x14ac:dyDescent="0.25">
      <c r="A306">
        <v>75.790000000000006</v>
      </c>
      <c r="B306">
        <v>0</v>
      </c>
      <c r="C306">
        <v>0</v>
      </c>
      <c r="D306">
        <v>114</v>
      </c>
      <c r="E306" t="s">
        <v>10</v>
      </c>
      <c r="F306">
        <v>0</v>
      </c>
      <c r="G306">
        <v>0</v>
      </c>
      <c r="H306">
        <v>0</v>
      </c>
      <c r="I306">
        <v>0</v>
      </c>
      <c r="J306">
        <v>0</v>
      </c>
      <c r="L306">
        <f t="shared" si="20"/>
        <v>125.27283040102608</v>
      </c>
      <c r="M306">
        <f t="shared" si="21"/>
        <v>101.69648466746713</v>
      </c>
      <c r="N306">
        <f t="shared" si="23"/>
        <v>23.576345733558952</v>
      </c>
      <c r="O306">
        <f t="shared" si="22"/>
        <v>116.90671830296179</v>
      </c>
      <c r="P306">
        <f t="shared" si="24"/>
        <v>111.97136388881907</v>
      </c>
      <c r="Q306">
        <f t="shared" si="25"/>
        <v>4.9353544141427221</v>
      </c>
    </row>
    <row r="307" spans="1:17" hidden="1" x14ac:dyDescent="0.25">
      <c r="A307">
        <v>76.040000000000006</v>
      </c>
      <c r="B307">
        <v>0</v>
      </c>
      <c r="C307">
        <v>0</v>
      </c>
      <c r="D307">
        <v>114</v>
      </c>
      <c r="E307" t="s">
        <v>10</v>
      </c>
      <c r="F307">
        <v>0</v>
      </c>
      <c r="G307">
        <v>0</v>
      </c>
      <c r="H307">
        <v>0</v>
      </c>
      <c r="I307">
        <v>0</v>
      </c>
      <c r="J307">
        <v>0</v>
      </c>
      <c r="L307">
        <f t="shared" si="20"/>
        <v>125.27283040102608</v>
      </c>
      <c r="M307">
        <f t="shared" si="21"/>
        <v>101.69648466746713</v>
      </c>
      <c r="N307">
        <f t="shared" si="23"/>
        <v>23.576345733558952</v>
      </c>
      <c r="O307">
        <f t="shared" si="22"/>
        <v>116.90671830296179</v>
      </c>
      <c r="P307">
        <f t="shared" si="24"/>
        <v>111.97136388881907</v>
      </c>
      <c r="Q307">
        <f t="shared" si="25"/>
        <v>4.9353544141427221</v>
      </c>
    </row>
    <row r="308" spans="1:17" hidden="1" x14ac:dyDescent="0.25">
      <c r="A308">
        <v>76.290000000000006</v>
      </c>
      <c r="B308">
        <v>0</v>
      </c>
      <c r="C308">
        <v>0</v>
      </c>
      <c r="D308">
        <v>114</v>
      </c>
      <c r="E308" t="s">
        <v>10</v>
      </c>
      <c r="F308">
        <v>0</v>
      </c>
      <c r="G308">
        <v>0</v>
      </c>
      <c r="H308">
        <v>0</v>
      </c>
      <c r="I308">
        <v>0</v>
      </c>
      <c r="J308">
        <v>0</v>
      </c>
      <c r="L308">
        <f t="shared" si="20"/>
        <v>125.27283040102608</v>
      </c>
      <c r="M308">
        <f t="shared" si="21"/>
        <v>101.69648466746713</v>
      </c>
      <c r="N308">
        <f t="shared" si="23"/>
        <v>23.576345733558952</v>
      </c>
      <c r="O308">
        <f t="shared" si="22"/>
        <v>116.90671830296179</v>
      </c>
      <c r="P308">
        <f t="shared" si="24"/>
        <v>111.97136388881907</v>
      </c>
      <c r="Q308">
        <f t="shared" si="25"/>
        <v>4.9353544141427221</v>
      </c>
    </row>
    <row r="309" spans="1:17" hidden="1" x14ac:dyDescent="0.25">
      <c r="A309">
        <v>76.540000000000006</v>
      </c>
      <c r="B309">
        <v>0</v>
      </c>
      <c r="C309">
        <v>0</v>
      </c>
      <c r="D309">
        <v>114</v>
      </c>
      <c r="E309" t="s">
        <v>10</v>
      </c>
      <c r="F309">
        <v>0</v>
      </c>
      <c r="G309">
        <v>0</v>
      </c>
      <c r="H309">
        <v>0</v>
      </c>
      <c r="I309">
        <v>0</v>
      </c>
      <c r="J309">
        <v>0</v>
      </c>
      <c r="L309">
        <f t="shared" si="20"/>
        <v>125.27283040102608</v>
      </c>
      <c r="M309">
        <f t="shared" si="21"/>
        <v>101.69648466746713</v>
      </c>
      <c r="N309">
        <f t="shared" si="23"/>
        <v>23.576345733558952</v>
      </c>
      <c r="O309">
        <f t="shared" si="22"/>
        <v>116.90671830296179</v>
      </c>
      <c r="P309">
        <f t="shared" si="24"/>
        <v>111.97136388881907</v>
      </c>
      <c r="Q309">
        <f t="shared" si="25"/>
        <v>4.9353544141427221</v>
      </c>
    </row>
    <row r="310" spans="1:17" hidden="1" x14ac:dyDescent="0.25">
      <c r="A310">
        <v>76.790000000000006</v>
      </c>
      <c r="B310">
        <v>0</v>
      </c>
      <c r="C310">
        <v>0</v>
      </c>
      <c r="D310">
        <v>114</v>
      </c>
      <c r="E310" t="s">
        <v>10</v>
      </c>
      <c r="F310">
        <v>0</v>
      </c>
      <c r="G310">
        <v>0</v>
      </c>
      <c r="H310">
        <v>0</v>
      </c>
      <c r="I310">
        <v>0</v>
      </c>
      <c r="J310">
        <v>0</v>
      </c>
      <c r="L310">
        <f t="shared" si="20"/>
        <v>125.27283040102608</v>
      </c>
      <c r="M310">
        <f t="shared" si="21"/>
        <v>101.69648466746713</v>
      </c>
      <c r="N310">
        <f t="shared" si="23"/>
        <v>23.576345733558952</v>
      </c>
      <c r="O310">
        <f t="shared" si="22"/>
        <v>116.90671830296179</v>
      </c>
      <c r="P310">
        <f t="shared" si="24"/>
        <v>111.97136388881907</v>
      </c>
      <c r="Q310">
        <f t="shared" si="25"/>
        <v>4.9353544141427221</v>
      </c>
    </row>
    <row r="311" spans="1:17" hidden="1" x14ac:dyDescent="0.25">
      <c r="A311">
        <v>77.040000000000006</v>
      </c>
      <c r="B311">
        <v>0</v>
      </c>
      <c r="C311">
        <v>0</v>
      </c>
      <c r="D311">
        <v>114</v>
      </c>
      <c r="E311" t="s">
        <v>10</v>
      </c>
      <c r="F311">
        <v>0</v>
      </c>
      <c r="G311">
        <v>0</v>
      </c>
      <c r="H311">
        <v>0</v>
      </c>
      <c r="I311">
        <v>0</v>
      </c>
      <c r="J311">
        <v>0</v>
      </c>
      <c r="L311">
        <f t="shared" si="20"/>
        <v>125.27283040102608</v>
      </c>
      <c r="M311">
        <f t="shared" si="21"/>
        <v>101.69648466746713</v>
      </c>
      <c r="N311">
        <f t="shared" si="23"/>
        <v>23.576345733558952</v>
      </c>
      <c r="O311">
        <f t="shared" si="22"/>
        <v>116.90671830296179</v>
      </c>
      <c r="P311">
        <f t="shared" si="24"/>
        <v>111.97136388881907</v>
      </c>
      <c r="Q311">
        <f t="shared" si="25"/>
        <v>4.9353544141427221</v>
      </c>
    </row>
    <row r="312" spans="1:17" hidden="1" x14ac:dyDescent="0.25">
      <c r="A312">
        <v>77.3</v>
      </c>
      <c r="B312">
        <v>0</v>
      </c>
      <c r="C312">
        <v>0</v>
      </c>
      <c r="D312">
        <v>114</v>
      </c>
      <c r="E312" t="s">
        <v>10</v>
      </c>
      <c r="F312">
        <v>0</v>
      </c>
      <c r="G312">
        <v>0</v>
      </c>
      <c r="H312">
        <v>0</v>
      </c>
      <c r="I312">
        <v>0</v>
      </c>
      <c r="J312">
        <v>0</v>
      </c>
      <c r="L312">
        <f t="shared" si="20"/>
        <v>125.27283040102608</v>
      </c>
      <c r="M312">
        <f t="shared" si="21"/>
        <v>101.69648466746713</v>
      </c>
      <c r="N312">
        <f t="shared" si="23"/>
        <v>23.576345733558952</v>
      </c>
      <c r="O312">
        <f t="shared" si="22"/>
        <v>116.90671830296179</v>
      </c>
      <c r="P312">
        <f t="shared" si="24"/>
        <v>111.97136388881907</v>
      </c>
      <c r="Q312">
        <f t="shared" si="25"/>
        <v>4.9353544141427221</v>
      </c>
    </row>
    <row r="313" spans="1:17" hidden="1" x14ac:dyDescent="0.25">
      <c r="A313">
        <v>77.55</v>
      </c>
      <c r="B313">
        <v>0</v>
      </c>
      <c r="C313">
        <v>0</v>
      </c>
      <c r="D313">
        <v>114</v>
      </c>
      <c r="E313" t="s">
        <v>10</v>
      </c>
      <c r="F313">
        <v>0</v>
      </c>
      <c r="G313">
        <v>0</v>
      </c>
      <c r="H313">
        <v>0</v>
      </c>
      <c r="I313">
        <v>0</v>
      </c>
      <c r="J313">
        <v>0</v>
      </c>
      <c r="L313">
        <f t="shared" si="20"/>
        <v>125.27283040102608</v>
      </c>
      <c r="M313">
        <f t="shared" si="21"/>
        <v>101.69648466746713</v>
      </c>
      <c r="N313">
        <f t="shared" si="23"/>
        <v>23.576345733558952</v>
      </c>
      <c r="O313">
        <f t="shared" si="22"/>
        <v>116.90671830296179</v>
      </c>
      <c r="P313">
        <f t="shared" si="24"/>
        <v>111.97136388881907</v>
      </c>
      <c r="Q313">
        <f t="shared" si="25"/>
        <v>4.9353544141427221</v>
      </c>
    </row>
    <row r="314" spans="1:17" hidden="1" x14ac:dyDescent="0.25">
      <c r="A314">
        <v>77.8</v>
      </c>
      <c r="B314">
        <v>0</v>
      </c>
      <c r="C314">
        <v>0</v>
      </c>
      <c r="D314">
        <v>114</v>
      </c>
      <c r="E314" t="s">
        <v>10</v>
      </c>
      <c r="F314">
        <v>0</v>
      </c>
      <c r="G314">
        <v>0</v>
      </c>
      <c r="H314">
        <v>0</v>
      </c>
      <c r="I314">
        <v>0</v>
      </c>
      <c r="J314">
        <v>0</v>
      </c>
      <c r="L314">
        <f t="shared" si="20"/>
        <v>125.27283040102608</v>
      </c>
      <c r="M314">
        <f t="shared" si="21"/>
        <v>101.69648466746713</v>
      </c>
      <c r="N314">
        <f t="shared" si="23"/>
        <v>23.576345733558952</v>
      </c>
      <c r="O314">
        <f t="shared" si="22"/>
        <v>116.90671830296179</v>
      </c>
      <c r="P314">
        <f t="shared" si="24"/>
        <v>111.97136388881907</v>
      </c>
      <c r="Q314">
        <f t="shared" si="25"/>
        <v>4.9353544141427221</v>
      </c>
    </row>
    <row r="315" spans="1:17" hidden="1" x14ac:dyDescent="0.25">
      <c r="A315">
        <v>78.05</v>
      </c>
      <c r="B315">
        <v>0</v>
      </c>
      <c r="C315">
        <v>0</v>
      </c>
      <c r="D315">
        <v>114</v>
      </c>
      <c r="E315" t="s">
        <v>10</v>
      </c>
      <c r="F315">
        <v>0</v>
      </c>
      <c r="G315">
        <v>0</v>
      </c>
      <c r="H315">
        <v>0</v>
      </c>
      <c r="I315">
        <v>0</v>
      </c>
      <c r="J315">
        <v>0</v>
      </c>
      <c r="L315">
        <f t="shared" si="20"/>
        <v>125.27283040102608</v>
      </c>
      <c r="M315">
        <f t="shared" si="21"/>
        <v>101.69648466746713</v>
      </c>
      <c r="N315">
        <f t="shared" si="23"/>
        <v>23.576345733558952</v>
      </c>
      <c r="O315">
        <f t="shared" si="22"/>
        <v>116.90671830296179</v>
      </c>
      <c r="P315">
        <f t="shared" si="24"/>
        <v>111.97136388881907</v>
      </c>
      <c r="Q315">
        <f t="shared" si="25"/>
        <v>4.9353544141427221</v>
      </c>
    </row>
    <row r="316" spans="1:17" hidden="1" x14ac:dyDescent="0.25">
      <c r="A316">
        <v>78.3</v>
      </c>
      <c r="B316">
        <v>0</v>
      </c>
      <c r="C316">
        <v>0</v>
      </c>
      <c r="D316">
        <v>114</v>
      </c>
      <c r="E316" t="s">
        <v>10</v>
      </c>
      <c r="F316">
        <v>0</v>
      </c>
      <c r="G316">
        <v>0</v>
      </c>
      <c r="H316">
        <v>0</v>
      </c>
      <c r="I316">
        <v>0</v>
      </c>
      <c r="J316">
        <v>0</v>
      </c>
      <c r="L316">
        <f t="shared" si="20"/>
        <v>125.27283040102608</v>
      </c>
      <c r="M316">
        <f t="shared" si="21"/>
        <v>101.69648466746713</v>
      </c>
      <c r="N316">
        <f t="shared" si="23"/>
        <v>23.576345733558952</v>
      </c>
      <c r="O316">
        <f t="shared" si="22"/>
        <v>116.90671830296179</v>
      </c>
      <c r="P316">
        <f t="shared" si="24"/>
        <v>111.97136388881907</v>
      </c>
      <c r="Q316">
        <f t="shared" si="25"/>
        <v>4.9353544141427221</v>
      </c>
    </row>
    <row r="317" spans="1:17" hidden="1" x14ac:dyDescent="0.25">
      <c r="A317">
        <v>78.56</v>
      </c>
      <c r="B317">
        <v>0</v>
      </c>
      <c r="C317">
        <v>0</v>
      </c>
      <c r="D317">
        <v>114</v>
      </c>
      <c r="E317" t="s">
        <v>10</v>
      </c>
      <c r="F317">
        <v>0</v>
      </c>
      <c r="G317">
        <v>0</v>
      </c>
      <c r="H317">
        <v>0</v>
      </c>
      <c r="I317">
        <v>0</v>
      </c>
      <c r="J317">
        <v>0</v>
      </c>
      <c r="L317">
        <f t="shared" si="20"/>
        <v>125.27283040102608</v>
      </c>
      <c r="M317">
        <f t="shared" si="21"/>
        <v>101.69648466746713</v>
      </c>
      <c r="N317">
        <f t="shared" si="23"/>
        <v>23.576345733558952</v>
      </c>
      <c r="O317">
        <f t="shared" si="22"/>
        <v>116.90671830296179</v>
      </c>
      <c r="P317">
        <f t="shared" si="24"/>
        <v>111.97136388881907</v>
      </c>
      <c r="Q317">
        <f t="shared" si="25"/>
        <v>4.9353544141427221</v>
      </c>
    </row>
    <row r="318" spans="1:17" hidden="1" x14ac:dyDescent="0.25">
      <c r="A318">
        <v>78.81</v>
      </c>
      <c r="B318">
        <v>0</v>
      </c>
      <c r="C318">
        <v>0</v>
      </c>
      <c r="D318">
        <v>114</v>
      </c>
      <c r="E318" t="s">
        <v>10</v>
      </c>
      <c r="F318">
        <v>0</v>
      </c>
      <c r="G318">
        <v>0</v>
      </c>
      <c r="H318">
        <v>0</v>
      </c>
      <c r="I318">
        <v>0</v>
      </c>
      <c r="J318">
        <v>0</v>
      </c>
      <c r="L318">
        <f t="shared" si="20"/>
        <v>125.27283040102608</v>
      </c>
      <c r="M318">
        <f t="shared" si="21"/>
        <v>101.69648466746713</v>
      </c>
      <c r="N318">
        <f t="shared" si="23"/>
        <v>23.576345733558952</v>
      </c>
      <c r="O318">
        <f t="shared" si="22"/>
        <v>116.90671830296179</v>
      </c>
      <c r="P318">
        <f t="shared" si="24"/>
        <v>111.97136388881907</v>
      </c>
      <c r="Q318">
        <f t="shared" si="25"/>
        <v>4.9353544141427221</v>
      </c>
    </row>
    <row r="319" spans="1:17" hidden="1" x14ac:dyDescent="0.25">
      <c r="A319">
        <v>79.06</v>
      </c>
      <c r="B319">
        <v>0</v>
      </c>
      <c r="C319">
        <v>0</v>
      </c>
      <c r="D319">
        <v>114</v>
      </c>
      <c r="E319" t="s">
        <v>10</v>
      </c>
      <c r="F319">
        <v>0</v>
      </c>
      <c r="G319">
        <v>0</v>
      </c>
      <c r="H319">
        <v>0</v>
      </c>
      <c r="I319">
        <v>0</v>
      </c>
      <c r="J319">
        <v>0</v>
      </c>
      <c r="L319">
        <f t="shared" si="20"/>
        <v>125.27283040102608</v>
      </c>
      <c r="M319">
        <f t="shared" si="21"/>
        <v>101.69648466746713</v>
      </c>
      <c r="N319">
        <f t="shared" si="23"/>
        <v>23.576345733558952</v>
      </c>
      <c r="O319">
        <f t="shared" si="22"/>
        <v>116.90671830296179</v>
      </c>
      <c r="P319">
        <f t="shared" si="24"/>
        <v>111.97136388881907</v>
      </c>
      <c r="Q319">
        <f t="shared" si="25"/>
        <v>4.9353544141427221</v>
      </c>
    </row>
    <row r="320" spans="1:17" hidden="1" x14ac:dyDescent="0.25">
      <c r="A320">
        <v>79.31</v>
      </c>
      <c r="B320">
        <v>0</v>
      </c>
      <c r="C320">
        <v>0</v>
      </c>
      <c r="D320">
        <v>114</v>
      </c>
      <c r="E320" t="s">
        <v>10</v>
      </c>
      <c r="F320">
        <v>0</v>
      </c>
      <c r="G320">
        <v>0</v>
      </c>
      <c r="H320">
        <v>0</v>
      </c>
      <c r="I320">
        <v>0</v>
      </c>
      <c r="J320">
        <v>0</v>
      </c>
      <c r="L320">
        <f t="shared" si="20"/>
        <v>125.27283040102608</v>
      </c>
      <c r="M320">
        <f t="shared" si="21"/>
        <v>101.69648466746713</v>
      </c>
      <c r="N320">
        <f t="shared" si="23"/>
        <v>23.576345733558952</v>
      </c>
      <c r="O320">
        <f t="shared" si="22"/>
        <v>116.90671830296179</v>
      </c>
      <c r="P320">
        <f t="shared" si="24"/>
        <v>111.97136388881907</v>
      </c>
      <c r="Q320">
        <f t="shared" si="25"/>
        <v>4.9353544141427221</v>
      </c>
    </row>
    <row r="321" spans="1:17" hidden="1" x14ac:dyDescent="0.25">
      <c r="A321">
        <v>79.56</v>
      </c>
      <c r="B321">
        <v>0</v>
      </c>
      <c r="C321">
        <v>0</v>
      </c>
      <c r="D321">
        <v>114</v>
      </c>
      <c r="E321" t="s">
        <v>10</v>
      </c>
      <c r="F321">
        <v>0</v>
      </c>
      <c r="G321">
        <v>0</v>
      </c>
      <c r="H321">
        <v>0</v>
      </c>
      <c r="I321">
        <v>0</v>
      </c>
      <c r="J321">
        <v>0</v>
      </c>
      <c r="L321">
        <f t="shared" si="20"/>
        <v>125.27283040102608</v>
      </c>
      <c r="M321">
        <f t="shared" si="21"/>
        <v>101.69648466746713</v>
      </c>
      <c r="N321">
        <f t="shared" si="23"/>
        <v>23.576345733558952</v>
      </c>
      <c r="O321">
        <f t="shared" si="22"/>
        <v>116.90671830296179</v>
      </c>
      <c r="P321">
        <f t="shared" si="24"/>
        <v>111.97136388881907</v>
      </c>
      <c r="Q321">
        <f t="shared" si="25"/>
        <v>4.9353544141427221</v>
      </c>
    </row>
    <row r="322" spans="1:17" hidden="1" x14ac:dyDescent="0.25">
      <c r="A322">
        <v>79.819999999999993</v>
      </c>
      <c r="B322">
        <v>0</v>
      </c>
      <c r="C322">
        <v>0</v>
      </c>
      <c r="D322">
        <v>114</v>
      </c>
      <c r="E322" t="s">
        <v>10</v>
      </c>
      <c r="F322">
        <v>0</v>
      </c>
      <c r="G322">
        <v>0</v>
      </c>
      <c r="H322">
        <v>0</v>
      </c>
      <c r="I322">
        <v>0</v>
      </c>
      <c r="J322">
        <v>0</v>
      </c>
      <c r="L322">
        <f t="shared" ref="L322:L347" si="26">$R$103+$R$100</f>
        <v>125.27283040102608</v>
      </c>
      <c r="M322">
        <f t="shared" ref="M322:M347" si="27">$R$103-$R$100</f>
        <v>101.69648466746713</v>
      </c>
      <c r="N322">
        <f t="shared" si="23"/>
        <v>23.576345733558952</v>
      </c>
      <c r="O322">
        <f t="shared" si="22"/>
        <v>116.90671830296179</v>
      </c>
      <c r="P322">
        <f t="shared" si="24"/>
        <v>111.97136388881907</v>
      </c>
      <c r="Q322">
        <f t="shared" si="25"/>
        <v>4.9353544141427221</v>
      </c>
    </row>
    <row r="323" spans="1:17" hidden="1" x14ac:dyDescent="0.25">
      <c r="A323">
        <v>80.069999999999993</v>
      </c>
      <c r="B323">
        <v>0</v>
      </c>
      <c r="C323">
        <v>0</v>
      </c>
      <c r="D323">
        <v>114</v>
      </c>
      <c r="E323" t="s">
        <v>10</v>
      </c>
      <c r="F323">
        <v>0</v>
      </c>
      <c r="G323">
        <v>0</v>
      </c>
      <c r="H323">
        <v>0</v>
      </c>
      <c r="I323">
        <v>0</v>
      </c>
      <c r="J323">
        <v>0</v>
      </c>
      <c r="L323">
        <f t="shared" si="26"/>
        <v>125.27283040102608</v>
      </c>
      <c r="M323">
        <f t="shared" si="27"/>
        <v>101.69648466746713</v>
      </c>
      <c r="N323">
        <f t="shared" si="23"/>
        <v>23.576345733558952</v>
      </c>
      <c r="O323">
        <f t="shared" si="22"/>
        <v>116.90671830296179</v>
      </c>
      <c r="P323">
        <f t="shared" si="24"/>
        <v>111.97136388881907</v>
      </c>
      <c r="Q323">
        <f t="shared" si="25"/>
        <v>4.9353544141427221</v>
      </c>
    </row>
    <row r="324" spans="1:17" hidden="1" x14ac:dyDescent="0.25">
      <c r="A324">
        <v>80.319999999999993</v>
      </c>
      <c r="B324">
        <v>0</v>
      </c>
      <c r="C324">
        <v>0</v>
      </c>
      <c r="D324">
        <v>114</v>
      </c>
      <c r="E324" t="s">
        <v>10</v>
      </c>
      <c r="F324">
        <v>0</v>
      </c>
      <c r="G324">
        <v>0</v>
      </c>
      <c r="H324">
        <v>0</v>
      </c>
      <c r="I324">
        <v>0</v>
      </c>
      <c r="J324">
        <v>0</v>
      </c>
      <c r="L324">
        <f t="shared" si="26"/>
        <v>125.27283040102608</v>
      </c>
      <c r="M324">
        <f t="shared" si="27"/>
        <v>101.69648466746713</v>
      </c>
      <c r="N324">
        <f t="shared" si="23"/>
        <v>23.576345733558952</v>
      </c>
      <c r="O324">
        <f t="shared" si="22"/>
        <v>116.90671830296179</v>
      </c>
      <c r="P324">
        <f t="shared" si="24"/>
        <v>111.97136388881907</v>
      </c>
      <c r="Q324">
        <f t="shared" si="25"/>
        <v>4.9353544141427221</v>
      </c>
    </row>
    <row r="325" spans="1:17" hidden="1" x14ac:dyDescent="0.25">
      <c r="A325">
        <v>80.569999999999993</v>
      </c>
      <c r="B325">
        <v>0</v>
      </c>
      <c r="C325">
        <v>0</v>
      </c>
      <c r="D325">
        <v>114</v>
      </c>
      <c r="E325" t="s">
        <v>10</v>
      </c>
      <c r="F325">
        <v>0</v>
      </c>
      <c r="G325">
        <v>0</v>
      </c>
      <c r="H325">
        <v>0</v>
      </c>
      <c r="I325">
        <v>0</v>
      </c>
      <c r="J325">
        <v>0</v>
      </c>
      <c r="L325">
        <f t="shared" si="26"/>
        <v>125.27283040102608</v>
      </c>
      <c r="M325">
        <f t="shared" si="27"/>
        <v>101.69648466746713</v>
      </c>
      <c r="N325">
        <f t="shared" si="23"/>
        <v>23.576345733558952</v>
      </c>
      <c r="O325">
        <f t="shared" si="22"/>
        <v>116.90671830296179</v>
      </c>
      <c r="P325">
        <f t="shared" si="24"/>
        <v>111.97136388881907</v>
      </c>
      <c r="Q325">
        <f t="shared" si="25"/>
        <v>4.9353544141427221</v>
      </c>
    </row>
    <row r="326" spans="1:17" hidden="1" x14ac:dyDescent="0.25">
      <c r="A326">
        <v>80.83</v>
      </c>
      <c r="B326">
        <v>0</v>
      </c>
      <c r="C326">
        <v>0</v>
      </c>
      <c r="D326">
        <v>114</v>
      </c>
      <c r="E326" t="s">
        <v>10</v>
      </c>
      <c r="F326">
        <v>0</v>
      </c>
      <c r="G326">
        <v>0</v>
      </c>
      <c r="H326">
        <v>0</v>
      </c>
      <c r="I326">
        <v>0</v>
      </c>
      <c r="J326">
        <v>0</v>
      </c>
      <c r="L326">
        <f t="shared" si="26"/>
        <v>125.27283040102608</v>
      </c>
      <c r="M326">
        <f t="shared" si="27"/>
        <v>101.69648466746713</v>
      </c>
      <c r="N326">
        <f t="shared" si="23"/>
        <v>23.576345733558952</v>
      </c>
      <c r="O326">
        <f t="shared" si="22"/>
        <v>116.90671830296179</v>
      </c>
      <c r="P326">
        <f t="shared" si="24"/>
        <v>111.97136388881907</v>
      </c>
      <c r="Q326">
        <f t="shared" si="25"/>
        <v>4.9353544141427221</v>
      </c>
    </row>
    <row r="327" spans="1:17" hidden="1" x14ac:dyDescent="0.25">
      <c r="A327">
        <v>81.08</v>
      </c>
      <c r="B327">
        <v>0</v>
      </c>
      <c r="C327">
        <v>0</v>
      </c>
      <c r="D327">
        <v>114</v>
      </c>
      <c r="E327" t="s">
        <v>10</v>
      </c>
      <c r="F327">
        <v>0</v>
      </c>
      <c r="G327">
        <v>0</v>
      </c>
      <c r="H327">
        <v>0</v>
      </c>
      <c r="I327">
        <v>0</v>
      </c>
      <c r="J327">
        <v>0</v>
      </c>
      <c r="L327">
        <f t="shared" si="26"/>
        <v>125.27283040102608</v>
      </c>
      <c r="M327">
        <f t="shared" si="27"/>
        <v>101.69648466746713</v>
      </c>
      <c r="N327">
        <f t="shared" si="23"/>
        <v>23.576345733558952</v>
      </c>
      <c r="O327">
        <f t="shared" si="22"/>
        <v>116.90671830296179</v>
      </c>
      <c r="P327">
        <f t="shared" si="24"/>
        <v>111.97136388881907</v>
      </c>
      <c r="Q327">
        <f t="shared" si="25"/>
        <v>4.9353544141427221</v>
      </c>
    </row>
    <row r="328" spans="1:17" hidden="1" x14ac:dyDescent="0.25">
      <c r="A328">
        <v>81.33</v>
      </c>
      <c r="B328">
        <v>0</v>
      </c>
      <c r="C328">
        <v>0</v>
      </c>
      <c r="D328">
        <v>114</v>
      </c>
      <c r="E328" t="s">
        <v>10</v>
      </c>
      <c r="F328">
        <v>0</v>
      </c>
      <c r="G328">
        <v>0</v>
      </c>
      <c r="H328">
        <v>0</v>
      </c>
      <c r="I328">
        <v>0</v>
      </c>
      <c r="J328">
        <v>0</v>
      </c>
      <c r="L328">
        <f t="shared" si="26"/>
        <v>125.27283040102608</v>
      </c>
      <c r="M328">
        <f t="shared" si="27"/>
        <v>101.69648466746713</v>
      </c>
      <c r="N328">
        <f t="shared" si="23"/>
        <v>23.576345733558952</v>
      </c>
      <c r="O328">
        <f t="shared" ref="O328:O347" si="28">$S$103+$S$100</f>
        <v>116.90671830296179</v>
      </c>
      <c r="P328">
        <f t="shared" si="24"/>
        <v>111.97136388881907</v>
      </c>
      <c r="Q328">
        <f t="shared" si="25"/>
        <v>4.9353544141427221</v>
      </c>
    </row>
    <row r="329" spans="1:17" hidden="1" x14ac:dyDescent="0.25">
      <c r="A329">
        <v>81.58</v>
      </c>
      <c r="B329">
        <v>0</v>
      </c>
      <c r="C329">
        <v>0</v>
      </c>
      <c r="D329">
        <v>114</v>
      </c>
      <c r="E329" t="s">
        <v>10</v>
      </c>
      <c r="F329">
        <v>0</v>
      </c>
      <c r="G329">
        <v>0</v>
      </c>
      <c r="H329">
        <v>0</v>
      </c>
      <c r="I329">
        <v>0</v>
      </c>
      <c r="J329">
        <v>0</v>
      </c>
      <c r="L329">
        <f t="shared" si="26"/>
        <v>125.27283040102608</v>
      </c>
      <c r="M329">
        <f t="shared" si="27"/>
        <v>101.69648466746713</v>
      </c>
      <c r="N329">
        <f t="shared" si="23"/>
        <v>23.576345733558952</v>
      </c>
      <c r="O329">
        <f t="shared" si="28"/>
        <v>116.90671830296179</v>
      </c>
      <c r="P329">
        <f t="shared" si="24"/>
        <v>111.97136388881907</v>
      </c>
      <c r="Q329">
        <f t="shared" si="25"/>
        <v>4.9353544141427221</v>
      </c>
    </row>
    <row r="330" spans="1:17" hidden="1" x14ac:dyDescent="0.25">
      <c r="A330">
        <v>81.83</v>
      </c>
      <c r="B330">
        <v>0</v>
      </c>
      <c r="C330">
        <v>0</v>
      </c>
      <c r="D330">
        <v>114</v>
      </c>
      <c r="E330" t="s">
        <v>10</v>
      </c>
      <c r="F330">
        <v>0</v>
      </c>
      <c r="G330">
        <v>0</v>
      </c>
      <c r="H330">
        <v>0</v>
      </c>
      <c r="I330">
        <v>0</v>
      </c>
      <c r="J330">
        <v>0</v>
      </c>
      <c r="L330">
        <f t="shared" si="26"/>
        <v>125.27283040102608</v>
      </c>
      <c r="M330">
        <f t="shared" si="27"/>
        <v>101.69648466746713</v>
      </c>
      <c r="N330">
        <f t="shared" si="23"/>
        <v>23.576345733558952</v>
      </c>
      <c r="O330">
        <f t="shared" si="28"/>
        <v>116.90671830296179</v>
      </c>
      <c r="P330">
        <f t="shared" si="24"/>
        <v>111.97136388881907</v>
      </c>
      <c r="Q330">
        <f t="shared" si="25"/>
        <v>4.9353544141427221</v>
      </c>
    </row>
    <row r="331" spans="1:17" hidden="1" x14ac:dyDescent="0.25">
      <c r="A331">
        <v>82.08</v>
      </c>
      <c r="B331">
        <v>0</v>
      </c>
      <c r="C331">
        <v>0</v>
      </c>
      <c r="D331">
        <v>114</v>
      </c>
      <c r="E331" t="s">
        <v>10</v>
      </c>
      <c r="F331">
        <v>0</v>
      </c>
      <c r="G331">
        <v>0</v>
      </c>
      <c r="H331">
        <v>0</v>
      </c>
      <c r="I331">
        <v>0</v>
      </c>
      <c r="J331">
        <v>0</v>
      </c>
      <c r="L331">
        <f t="shared" si="26"/>
        <v>125.27283040102608</v>
      </c>
      <c r="M331">
        <f t="shared" si="27"/>
        <v>101.69648466746713</v>
      </c>
      <c r="N331">
        <f t="shared" si="23"/>
        <v>23.576345733558952</v>
      </c>
      <c r="O331">
        <f t="shared" si="28"/>
        <v>116.90671830296179</v>
      </c>
      <c r="P331">
        <f t="shared" si="24"/>
        <v>111.97136388881907</v>
      </c>
      <c r="Q331">
        <f t="shared" si="25"/>
        <v>4.9353544141427221</v>
      </c>
    </row>
    <row r="332" spans="1:17" hidden="1" x14ac:dyDescent="0.25">
      <c r="A332">
        <v>82.35</v>
      </c>
      <c r="B332">
        <v>0</v>
      </c>
      <c r="C332">
        <v>0</v>
      </c>
      <c r="D332">
        <v>114</v>
      </c>
      <c r="E332" t="s">
        <v>10</v>
      </c>
      <c r="F332">
        <v>0</v>
      </c>
      <c r="G332">
        <v>0</v>
      </c>
      <c r="H332">
        <v>0</v>
      </c>
      <c r="I332">
        <v>0</v>
      </c>
      <c r="J332">
        <v>0</v>
      </c>
      <c r="L332">
        <f t="shared" si="26"/>
        <v>125.27283040102608</v>
      </c>
      <c r="M332">
        <f t="shared" si="27"/>
        <v>101.69648466746713</v>
      </c>
      <c r="N332">
        <f t="shared" si="23"/>
        <v>23.576345733558952</v>
      </c>
      <c r="O332">
        <f t="shared" si="28"/>
        <v>116.90671830296179</v>
      </c>
      <c r="P332">
        <f t="shared" si="24"/>
        <v>111.97136388881907</v>
      </c>
      <c r="Q332">
        <f t="shared" si="25"/>
        <v>4.9353544141427221</v>
      </c>
    </row>
    <row r="333" spans="1:17" hidden="1" x14ac:dyDescent="0.25">
      <c r="A333">
        <v>82.59</v>
      </c>
      <c r="B333">
        <v>0</v>
      </c>
      <c r="C333">
        <v>0</v>
      </c>
      <c r="D333">
        <v>114</v>
      </c>
      <c r="E333" t="s">
        <v>10</v>
      </c>
      <c r="F333">
        <v>0</v>
      </c>
      <c r="G333">
        <v>0</v>
      </c>
      <c r="H333">
        <v>0</v>
      </c>
      <c r="I333">
        <v>0</v>
      </c>
      <c r="J333">
        <v>0</v>
      </c>
      <c r="L333">
        <f t="shared" si="26"/>
        <v>125.27283040102608</v>
      </c>
      <c r="M333">
        <f t="shared" si="27"/>
        <v>101.69648466746713</v>
      </c>
      <c r="N333">
        <f t="shared" si="23"/>
        <v>23.576345733558952</v>
      </c>
      <c r="O333">
        <f t="shared" si="28"/>
        <v>116.90671830296179</v>
      </c>
      <c r="P333">
        <f t="shared" si="24"/>
        <v>111.97136388881907</v>
      </c>
      <c r="Q333">
        <f t="shared" si="25"/>
        <v>4.9353544141427221</v>
      </c>
    </row>
    <row r="334" spans="1:17" hidden="1" x14ac:dyDescent="0.25">
      <c r="A334">
        <v>82.84</v>
      </c>
      <c r="B334">
        <v>0</v>
      </c>
      <c r="C334">
        <v>0</v>
      </c>
      <c r="D334">
        <v>114</v>
      </c>
      <c r="E334" t="s">
        <v>10</v>
      </c>
      <c r="F334">
        <v>0</v>
      </c>
      <c r="G334">
        <v>0</v>
      </c>
      <c r="H334">
        <v>0</v>
      </c>
      <c r="I334">
        <v>0</v>
      </c>
      <c r="J334">
        <v>0</v>
      </c>
      <c r="L334">
        <f t="shared" si="26"/>
        <v>125.27283040102608</v>
      </c>
      <c r="M334">
        <f t="shared" si="27"/>
        <v>101.69648466746713</v>
      </c>
      <c r="N334">
        <f t="shared" si="23"/>
        <v>23.576345733558952</v>
      </c>
      <c r="O334">
        <f t="shared" si="28"/>
        <v>116.90671830296179</v>
      </c>
      <c r="P334">
        <f t="shared" si="24"/>
        <v>111.97136388881907</v>
      </c>
      <c r="Q334">
        <f t="shared" si="25"/>
        <v>4.9353544141427221</v>
      </c>
    </row>
    <row r="335" spans="1:17" hidden="1" x14ac:dyDescent="0.25">
      <c r="A335">
        <v>83.09</v>
      </c>
      <c r="B335">
        <v>0</v>
      </c>
      <c r="C335">
        <v>0</v>
      </c>
      <c r="D335">
        <v>114</v>
      </c>
      <c r="E335" t="s">
        <v>10</v>
      </c>
      <c r="F335">
        <v>0</v>
      </c>
      <c r="G335">
        <v>0</v>
      </c>
      <c r="H335">
        <v>0</v>
      </c>
      <c r="I335">
        <v>0</v>
      </c>
      <c r="J335">
        <v>0</v>
      </c>
      <c r="L335">
        <f t="shared" si="26"/>
        <v>125.27283040102608</v>
      </c>
      <c r="M335">
        <f t="shared" si="27"/>
        <v>101.69648466746713</v>
      </c>
      <c r="N335">
        <f t="shared" si="23"/>
        <v>23.576345733558952</v>
      </c>
      <c r="O335">
        <f t="shared" si="28"/>
        <v>116.90671830296179</v>
      </c>
      <c r="P335">
        <f t="shared" si="24"/>
        <v>111.97136388881907</v>
      </c>
      <c r="Q335">
        <f t="shared" si="25"/>
        <v>4.9353544141427221</v>
      </c>
    </row>
    <row r="336" spans="1:17" hidden="1" x14ac:dyDescent="0.25">
      <c r="A336">
        <v>83.35</v>
      </c>
      <c r="B336">
        <v>0</v>
      </c>
      <c r="C336">
        <v>0</v>
      </c>
      <c r="D336">
        <v>114</v>
      </c>
      <c r="E336" t="s">
        <v>10</v>
      </c>
      <c r="F336">
        <v>0</v>
      </c>
      <c r="G336">
        <v>0</v>
      </c>
      <c r="H336">
        <v>0</v>
      </c>
      <c r="I336">
        <v>0</v>
      </c>
      <c r="J336">
        <v>0</v>
      </c>
      <c r="L336">
        <f t="shared" si="26"/>
        <v>125.27283040102608</v>
      </c>
      <c r="M336">
        <f t="shared" si="27"/>
        <v>101.69648466746713</v>
      </c>
      <c r="N336">
        <f t="shared" si="23"/>
        <v>23.576345733558952</v>
      </c>
      <c r="O336">
        <f t="shared" si="28"/>
        <v>116.90671830296179</v>
      </c>
      <c r="P336">
        <f t="shared" si="24"/>
        <v>111.97136388881907</v>
      </c>
      <c r="Q336">
        <f t="shared" si="25"/>
        <v>4.9353544141427221</v>
      </c>
    </row>
    <row r="337" spans="1:17" hidden="1" x14ac:dyDescent="0.25">
      <c r="A337">
        <v>83.62</v>
      </c>
      <c r="B337">
        <v>0</v>
      </c>
      <c r="C337">
        <v>0</v>
      </c>
      <c r="D337">
        <v>114</v>
      </c>
      <c r="E337" t="s">
        <v>10</v>
      </c>
      <c r="F337">
        <v>0</v>
      </c>
      <c r="G337">
        <v>0</v>
      </c>
      <c r="H337">
        <v>0</v>
      </c>
      <c r="I337">
        <v>0</v>
      </c>
      <c r="J337">
        <v>0</v>
      </c>
      <c r="L337">
        <f t="shared" si="26"/>
        <v>125.27283040102608</v>
      </c>
      <c r="M337">
        <f t="shared" si="27"/>
        <v>101.69648466746713</v>
      </c>
      <c r="N337">
        <f t="shared" si="23"/>
        <v>23.576345733558952</v>
      </c>
      <c r="O337">
        <f t="shared" si="28"/>
        <v>116.90671830296179</v>
      </c>
      <c r="P337">
        <f t="shared" si="24"/>
        <v>111.97136388881907</v>
      </c>
      <c r="Q337">
        <f t="shared" si="25"/>
        <v>4.9353544141427221</v>
      </c>
    </row>
    <row r="338" spans="1:17" hidden="1" x14ac:dyDescent="0.25">
      <c r="A338">
        <v>83.85</v>
      </c>
      <c r="B338">
        <v>0</v>
      </c>
      <c r="C338">
        <v>0</v>
      </c>
      <c r="D338">
        <v>114</v>
      </c>
      <c r="E338" t="s">
        <v>10</v>
      </c>
      <c r="F338">
        <v>0</v>
      </c>
      <c r="G338">
        <v>0</v>
      </c>
      <c r="H338">
        <v>0</v>
      </c>
      <c r="I338">
        <v>0</v>
      </c>
      <c r="J338">
        <v>0</v>
      </c>
      <c r="L338">
        <f t="shared" si="26"/>
        <v>125.27283040102608</v>
      </c>
      <c r="M338">
        <f t="shared" si="27"/>
        <v>101.69648466746713</v>
      </c>
      <c r="N338">
        <f t="shared" si="23"/>
        <v>23.576345733558952</v>
      </c>
      <c r="O338">
        <f t="shared" si="28"/>
        <v>116.90671830296179</v>
      </c>
      <c r="P338">
        <f t="shared" si="24"/>
        <v>111.97136388881907</v>
      </c>
      <c r="Q338">
        <f t="shared" si="25"/>
        <v>4.9353544141427221</v>
      </c>
    </row>
    <row r="339" spans="1:17" hidden="1" x14ac:dyDescent="0.25">
      <c r="A339">
        <v>84.1</v>
      </c>
      <c r="B339">
        <v>0</v>
      </c>
      <c r="C339">
        <v>0</v>
      </c>
      <c r="D339">
        <v>114</v>
      </c>
      <c r="E339" t="s">
        <v>10</v>
      </c>
      <c r="F339">
        <v>0</v>
      </c>
      <c r="G339">
        <v>0</v>
      </c>
      <c r="H339">
        <v>0</v>
      </c>
      <c r="I339">
        <v>0</v>
      </c>
      <c r="J339">
        <v>0</v>
      </c>
      <c r="L339">
        <f t="shared" si="26"/>
        <v>125.27283040102608</v>
      </c>
      <c r="M339">
        <f t="shared" si="27"/>
        <v>101.69648466746713</v>
      </c>
      <c r="N339">
        <f t="shared" si="23"/>
        <v>23.576345733558952</v>
      </c>
      <c r="O339">
        <f t="shared" si="28"/>
        <v>116.90671830296179</v>
      </c>
      <c r="P339">
        <f t="shared" si="24"/>
        <v>111.97136388881907</v>
      </c>
      <c r="Q339">
        <f t="shared" si="25"/>
        <v>4.9353544141427221</v>
      </c>
    </row>
    <row r="340" spans="1:17" hidden="1" x14ac:dyDescent="0.25">
      <c r="A340">
        <v>84.35</v>
      </c>
      <c r="B340">
        <v>0</v>
      </c>
      <c r="C340">
        <v>0</v>
      </c>
      <c r="D340">
        <v>114</v>
      </c>
      <c r="E340" t="s">
        <v>10</v>
      </c>
      <c r="F340">
        <v>0</v>
      </c>
      <c r="G340">
        <v>0</v>
      </c>
      <c r="H340">
        <v>0</v>
      </c>
      <c r="I340">
        <v>0</v>
      </c>
      <c r="J340">
        <v>0</v>
      </c>
      <c r="L340">
        <f t="shared" si="26"/>
        <v>125.27283040102608</v>
      </c>
      <c r="M340">
        <f t="shared" si="27"/>
        <v>101.69648466746713</v>
      </c>
      <c r="N340">
        <f t="shared" si="23"/>
        <v>23.576345733558952</v>
      </c>
      <c r="O340">
        <f t="shared" si="28"/>
        <v>116.90671830296179</v>
      </c>
      <c r="P340">
        <f t="shared" si="24"/>
        <v>111.97136388881907</v>
      </c>
      <c r="Q340">
        <f t="shared" si="25"/>
        <v>4.9353544141427221</v>
      </c>
    </row>
    <row r="341" spans="1:17" hidden="1" x14ac:dyDescent="0.25">
      <c r="A341">
        <v>84.6</v>
      </c>
      <c r="B341">
        <v>0</v>
      </c>
      <c r="C341">
        <v>0</v>
      </c>
      <c r="D341">
        <v>114</v>
      </c>
      <c r="E341" t="s">
        <v>10</v>
      </c>
      <c r="F341">
        <v>0</v>
      </c>
      <c r="G341">
        <v>0</v>
      </c>
      <c r="H341">
        <v>0</v>
      </c>
      <c r="I341">
        <v>0</v>
      </c>
      <c r="J341">
        <v>0</v>
      </c>
      <c r="L341">
        <f t="shared" si="26"/>
        <v>125.27283040102608</v>
      </c>
      <c r="M341">
        <f t="shared" si="27"/>
        <v>101.69648466746713</v>
      </c>
      <c r="N341">
        <f t="shared" si="23"/>
        <v>23.576345733558952</v>
      </c>
      <c r="O341">
        <f t="shared" si="28"/>
        <v>116.90671830296179</v>
      </c>
      <c r="P341">
        <f t="shared" si="24"/>
        <v>111.97136388881907</v>
      </c>
      <c r="Q341">
        <f t="shared" si="25"/>
        <v>4.9353544141427221</v>
      </c>
    </row>
    <row r="342" spans="1:17" hidden="1" x14ac:dyDescent="0.25">
      <c r="A342">
        <v>84.86</v>
      </c>
      <c r="B342">
        <v>0</v>
      </c>
      <c r="C342">
        <v>0</v>
      </c>
      <c r="D342">
        <v>114</v>
      </c>
      <c r="E342" t="s">
        <v>10</v>
      </c>
      <c r="F342">
        <v>0</v>
      </c>
      <c r="G342">
        <v>0</v>
      </c>
      <c r="H342">
        <v>0</v>
      </c>
      <c r="I342">
        <v>0</v>
      </c>
      <c r="J342">
        <v>0</v>
      </c>
      <c r="L342">
        <f t="shared" si="26"/>
        <v>125.27283040102608</v>
      </c>
      <c r="M342">
        <f t="shared" si="27"/>
        <v>101.69648466746713</v>
      </c>
      <c r="N342">
        <f t="shared" si="23"/>
        <v>23.576345733558952</v>
      </c>
      <c r="O342">
        <f t="shared" si="28"/>
        <v>116.90671830296179</v>
      </c>
      <c r="P342">
        <f t="shared" si="24"/>
        <v>111.97136388881907</v>
      </c>
      <c r="Q342">
        <f t="shared" si="25"/>
        <v>4.9353544141427221</v>
      </c>
    </row>
    <row r="343" spans="1:17" hidden="1" x14ac:dyDescent="0.25">
      <c r="A343">
        <v>85.11</v>
      </c>
      <c r="B343">
        <v>0</v>
      </c>
      <c r="C343">
        <v>0</v>
      </c>
      <c r="D343">
        <v>114</v>
      </c>
      <c r="E343" t="s">
        <v>10</v>
      </c>
      <c r="F343">
        <v>0</v>
      </c>
      <c r="G343">
        <v>0</v>
      </c>
      <c r="H343">
        <v>0</v>
      </c>
      <c r="I343">
        <v>0</v>
      </c>
      <c r="J343">
        <v>0</v>
      </c>
      <c r="L343">
        <f t="shared" si="26"/>
        <v>125.27283040102608</v>
      </c>
      <c r="M343">
        <f t="shared" si="27"/>
        <v>101.69648466746713</v>
      </c>
      <c r="N343">
        <f t="shared" si="23"/>
        <v>23.576345733558952</v>
      </c>
      <c r="O343">
        <f t="shared" si="28"/>
        <v>116.90671830296179</v>
      </c>
      <c r="P343">
        <f t="shared" si="24"/>
        <v>111.97136388881907</v>
      </c>
      <c r="Q343">
        <f t="shared" si="25"/>
        <v>4.9353544141427221</v>
      </c>
    </row>
    <row r="344" spans="1:17" hidden="1" x14ac:dyDescent="0.25">
      <c r="A344">
        <v>85.36</v>
      </c>
      <c r="B344">
        <v>0</v>
      </c>
      <c r="C344">
        <v>0</v>
      </c>
      <c r="D344">
        <v>114</v>
      </c>
      <c r="E344" t="s">
        <v>10</v>
      </c>
      <c r="F344">
        <v>0</v>
      </c>
      <c r="G344">
        <v>0</v>
      </c>
      <c r="H344">
        <v>0</v>
      </c>
      <c r="I344">
        <v>0</v>
      </c>
      <c r="J344">
        <v>0</v>
      </c>
      <c r="L344">
        <f t="shared" si="26"/>
        <v>125.27283040102608</v>
      </c>
      <c r="M344">
        <f t="shared" si="27"/>
        <v>101.69648466746713</v>
      </c>
      <c r="N344">
        <f t="shared" si="23"/>
        <v>23.576345733558952</v>
      </c>
      <c r="O344">
        <f t="shared" si="28"/>
        <v>116.90671830296179</v>
      </c>
      <c r="P344">
        <f t="shared" si="24"/>
        <v>111.97136388881907</v>
      </c>
      <c r="Q344">
        <f t="shared" si="25"/>
        <v>4.9353544141427221</v>
      </c>
    </row>
    <row r="345" spans="1:17" hidden="1" x14ac:dyDescent="0.25">
      <c r="A345">
        <v>85.61</v>
      </c>
      <c r="B345">
        <v>0</v>
      </c>
      <c r="C345">
        <v>0</v>
      </c>
      <c r="D345">
        <v>114</v>
      </c>
      <c r="E345" t="s">
        <v>10</v>
      </c>
      <c r="F345">
        <v>0</v>
      </c>
      <c r="G345">
        <v>0</v>
      </c>
      <c r="H345">
        <v>0</v>
      </c>
      <c r="I345">
        <v>0</v>
      </c>
      <c r="J345">
        <v>0</v>
      </c>
      <c r="L345">
        <f t="shared" si="26"/>
        <v>125.27283040102608</v>
      </c>
      <c r="M345">
        <f t="shared" si="27"/>
        <v>101.69648466746713</v>
      </c>
      <c r="N345">
        <f t="shared" si="23"/>
        <v>23.576345733558952</v>
      </c>
      <c r="O345">
        <f t="shared" si="28"/>
        <v>116.90671830296179</v>
      </c>
      <c r="P345">
        <f t="shared" si="24"/>
        <v>111.97136388881907</v>
      </c>
      <c r="Q345">
        <f t="shared" si="25"/>
        <v>4.9353544141427221</v>
      </c>
    </row>
    <row r="346" spans="1:17" hidden="1" x14ac:dyDescent="0.25">
      <c r="A346">
        <v>85.86</v>
      </c>
      <c r="B346">
        <v>0</v>
      </c>
      <c r="C346">
        <v>0</v>
      </c>
      <c r="D346">
        <v>114</v>
      </c>
      <c r="E346" t="s">
        <v>10</v>
      </c>
      <c r="F346">
        <v>0</v>
      </c>
      <c r="G346">
        <v>0</v>
      </c>
      <c r="H346">
        <v>0</v>
      </c>
      <c r="I346">
        <v>0</v>
      </c>
      <c r="J346">
        <v>0</v>
      </c>
      <c r="L346">
        <f t="shared" si="26"/>
        <v>125.27283040102608</v>
      </c>
      <c r="M346">
        <f t="shared" si="27"/>
        <v>101.69648466746713</v>
      </c>
      <c r="N346">
        <f t="shared" si="23"/>
        <v>23.576345733558952</v>
      </c>
      <c r="O346">
        <f t="shared" si="28"/>
        <v>116.90671830296179</v>
      </c>
      <c r="P346">
        <f t="shared" si="24"/>
        <v>111.97136388881907</v>
      </c>
      <c r="Q346">
        <f t="shared" si="25"/>
        <v>4.9353544141427221</v>
      </c>
    </row>
    <row r="347" spans="1:17" hidden="1" x14ac:dyDescent="0.25">
      <c r="A347">
        <v>86.12</v>
      </c>
      <c r="B347">
        <v>0</v>
      </c>
      <c r="C347">
        <v>0</v>
      </c>
      <c r="D347">
        <v>114</v>
      </c>
      <c r="E347" t="s">
        <v>10</v>
      </c>
      <c r="F347">
        <v>0</v>
      </c>
      <c r="G347">
        <v>0</v>
      </c>
      <c r="H347">
        <v>0</v>
      </c>
      <c r="I347">
        <v>0</v>
      </c>
      <c r="J347">
        <v>0</v>
      </c>
      <c r="L347">
        <f t="shared" si="26"/>
        <v>125.27283040102608</v>
      </c>
      <c r="M347">
        <f t="shared" si="27"/>
        <v>101.69648466746713</v>
      </c>
      <c r="N347">
        <f t="shared" ref="N347" si="29">L347-M347</f>
        <v>23.576345733558952</v>
      </c>
      <c r="O347">
        <f t="shared" si="28"/>
        <v>116.90671830296179</v>
      </c>
      <c r="P347">
        <f t="shared" ref="P347" si="30">$S$103-$S$100</f>
        <v>111.97136388881907</v>
      </c>
      <c r="Q347">
        <f t="shared" ref="Q347" si="31">O347-P347</f>
        <v>4.9353544141427221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datalog_FINAL_1777319982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Angel Fernandez Tiñini</dc:creator>
  <cp:lastModifiedBy>Milton Angel Fernandez Tiñini</cp:lastModifiedBy>
  <dcterms:created xsi:type="dcterms:W3CDTF">2026-04-27T20:46:20Z</dcterms:created>
  <dcterms:modified xsi:type="dcterms:W3CDTF">2026-04-27T22:53:32Z</dcterms:modified>
</cp:coreProperties>
</file>